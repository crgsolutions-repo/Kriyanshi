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defaultThemeVersion="124226"/>
  <xr:revisionPtr revIDLastSave="0" documentId="13_ncr:1_{B68609CE-91E1-49CE-A980-0FAF1B398D89}" xr6:coauthVersionLast="47" xr6:coauthVersionMax="47" xr10:uidLastSave="{00000000-0000-0000-0000-000000000000}"/>
  <bookViews>
    <workbookView xWindow="-110" yWindow="-110" windowWidth="19420" windowHeight="10300" tabRatio="705" activeTab="4" xr2:uid="{00000000-000D-0000-FFFF-FFFF00000000}"/>
  </bookViews>
  <sheets>
    <sheet name="Mashing" sheetId="16" r:id="rId1"/>
    <sheet name="Fermentation" sheetId="22" r:id="rId2"/>
    <sheet name="Wash Still Distillation" sheetId="37" r:id="rId3"/>
    <sheet name="Spirit Still Distillation" sheetId="38" r:id="rId4"/>
    <sheet name="Output Data" sheetId="39" r:id="rId5"/>
  </sheets>
  <definedNames>
    <definedName name="_xlnm._FilterDatabase" localSheetId="1" hidden="1">Fermentation!$A$2:$Y$2</definedName>
    <definedName name="_xlnm._FilterDatabase" localSheetId="0" hidden="1">Mashing!$A$2:$AK$2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tc={D5351F32-5016-4DEE-8CE1-E6AC25EF65B1}</author>
    <author>tc={7A8EAD56-918F-47D6-8833-5C3D70C8BE89}</author>
    <author>tc={32AF1C50-BBFB-49A5-8180-D36843102ED1}</author>
    <author>tc={7F566ADF-0207-4CE1-967E-18DBE1F95551}</author>
  </authors>
  <commentList>
    <comment ref="Q2" authorId="0" shapeId="0" xr:uid="{D5351F32-5016-4DEE-8CE1-E6AC25EF65B1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would be done at POC</t>
      </text>
    </comment>
    <comment ref="R2" authorId="1" shapeId="0" xr:uid="{7A8EAD56-918F-47D6-8833-5C3D70C8BE89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would be done at POC</t>
      </text>
    </comment>
    <comment ref="S2" authorId="2" shapeId="0" xr:uid="{32AF1C50-BBFB-49A5-8180-D36843102ED1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 would be done at POC</t>
      </text>
    </comment>
    <comment ref="V2" authorId="3" shapeId="0" xr:uid="{7F566ADF-0207-4CE1-967E-18DBE1F95551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it is wash or not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tc={F178B021-D828-4595-BF3D-459F147354AC}</author>
  </authors>
  <commentList>
    <comment ref="B2" authorId="0" shapeId="0" xr:uid="{F178B021-D828-4595-BF3D-459F147354AC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it is wash or not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tc={5E1C4B78-3017-4639-A8DA-DD968B3643BF}</author>
  </authors>
  <commentList>
    <comment ref="I2" authorId="0" shapeId="0" xr:uid="{5E1C4B78-3017-4639-A8DA-DD968B3643BF}">
      <text>
        <t>[Threaded comment]
Your version of Excel allows you to read this threaded comment; however, any edits to it will get removed if the file is opened in a newer version of Excel. Learn more: https://go.microsoft.com/fwlink/?linkid=870924
Comment:
    In POC, scan needs to be done</t>
      </text>
    </comment>
  </commentList>
</comments>
</file>

<file path=xl/sharedStrings.xml><?xml version="1.0" encoding="utf-8"?>
<sst xmlns="http://schemas.openxmlformats.org/spreadsheetml/2006/main" count="529" uniqueCount="179">
  <si>
    <t>Water pH</t>
  </si>
  <si>
    <t>Water TDS</t>
  </si>
  <si>
    <t>Water Hardness</t>
  </si>
  <si>
    <t>Water Sensory</t>
  </si>
  <si>
    <t>Water Chloride</t>
  </si>
  <si>
    <t>Water Alkalinity</t>
  </si>
  <si>
    <t>Water Free Chlorine</t>
  </si>
  <si>
    <t>Malt Moisture</t>
  </si>
  <si>
    <t>Malt Fermentability</t>
  </si>
  <si>
    <t>Malt Friability 6-Row</t>
  </si>
  <si>
    <t>Mash B#</t>
  </si>
  <si>
    <t>CIP Caustic Strength %</t>
  </si>
  <si>
    <t>CIP Solution Temperature</t>
  </si>
  <si>
    <t>CIP Circulation time</t>
  </si>
  <si>
    <t>CIP FV Contact Time</t>
  </si>
  <si>
    <t>Grist Quantity</t>
  </si>
  <si>
    <t>Mashing - Striking Temp.</t>
  </si>
  <si>
    <t>Resting Time</t>
  </si>
  <si>
    <t>Sparging Temperature 1</t>
  </si>
  <si>
    <t>Sparging Temperature 2</t>
  </si>
  <si>
    <t>Raking Arms Speed</t>
  </si>
  <si>
    <t>Mash Vessel Turnaround Time</t>
  </si>
  <si>
    <t>Draff Loss</t>
  </si>
  <si>
    <t>Wort Collection - Flow Rate</t>
  </si>
  <si>
    <t>First Wort Collection - Turbidity</t>
  </si>
  <si>
    <t>First Wort Collection - Gravity</t>
  </si>
  <si>
    <t>Weak Wort Gravity</t>
  </si>
  <si>
    <t>Weak Wort Clarity</t>
  </si>
  <si>
    <t>Weak Wort Temperature</t>
  </si>
  <si>
    <t>Fermentation Volume</t>
  </si>
  <si>
    <t>Ferm. Yeast Addition</t>
  </si>
  <si>
    <t>Ferm. Set-up Temp</t>
  </si>
  <si>
    <t>Ferm. Set-up Gravity</t>
  </si>
  <si>
    <t>Ferm. Set-up pH</t>
  </si>
  <si>
    <t>Fermentation Time</t>
  </si>
  <si>
    <t>Total Fermentation Time</t>
  </si>
  <si>
    <t>Ferm. Max. Temp.</t>
  </si>
  <si>
    <t>WD 1 - Distillation Time</t>
  </si>
  <si>
    <t>WD - Alcohol % in Low Wine</t>
  </si>
  <si>
    <t>WD - Volume Low Wine</t>
  </si>
  <si>
    <t>SD - Heads Cut Time</t>
  </si>
  <si>
    <t>SD - Heart Cut Time</t>
  </si>
  <si>
    <t>SD - Tail Cut Time</t>
  </si>
  <si>
    <t>SD - Total Distillation Time</t>
  </si>
  <si>
    <t>SD - Recovery 6-Row</t>
  </si>
  <si>
    <t>GC - Methanol</t>
  </si>
  <si>
    <t>GC - Acetaldehyde</t>
  </si>
  <si>
    <t>GC - n-Propanol</t>
  </si>
  <si>
    <t>GC - Iso Butanol</t>
  </si>
  <si>
    <t>GC - Iso Amyl Alcohol</t>
  </si>
  <si>
    <t>GC - Ethyl Acetate</t>
  </si>
  <si>
    <t>Comments</t>
  </si>
  <si>
    <t>STR fermented,medium FO, Sl.husky/cereal</t>
  </si>
  <si>
    <t>sl.floral, sl fermented</t>
  </si>
  <si>
    <t>Medium fermented, STRhusky, SL.cooked</t>
  </si>
  <si>
    <t>STR fermented, medium fruity, medium grainy</t>
  </si>
  <si>
    <t>STR fermented, Slight starchy</t>
  </si>
  <si>
    <t xml:space="preserve">medium fermented,vsl. FO, sl. husky/cereal, </t>
  </si>
  <si>
    <t>STR fermented, medium cooked, sl.grainy</t>
  </si>
  <si>
    <t xml:space="preserve">STR fermented, Sl.FO, medium husky/cereal </t>
  </si>
  <si>
    <t>medium fermented, sl. cooked, Sl.huksy, Sl. FO</t>
  </si>
  <si>
    <t>STR fermented, medium husky</t>
  </si>
  <si>
    <t xml:space="preserve">STR fermented, SL.FO, Medium husky, cereal </t>
  </si>
  <si>
    <t>STR fermented, sl.husky</t>
  </si>
  <si>
    <t>STR fermented, medium FO</t>
  </si>
  <si>
    <t>STR fermented,medium FO, STR huksy, Sl.grainy</t>
  </si>
  <si>
    <t>STR FO, STR fermented, medium husky</t>
  </si>
  <si>
    <t>Medium fermented, Sl.FO, sl.husky/cereal</t>
  </si>
  <si>
    <t>medium fermented, medium husky, medium grainy</t>
  </si>
  <si>
    <t>medium husky, medium fermented, medium starchy</t>
  </si>
  <si>
    <t>medium husky/cereal, STR fermented, medium FO</t>
  </si>
  <si>
    <t>STR fermented, medium FO, STR husky</t>
  </si>
  <si>
    <t>STR fermented, Medium FO, STR husky, cereal</t>
  </si>
  <si>
    <t>STR fermented, STR husky</t>
  </si>
  <si>
    <t>STR fermented, medium husky,</t>
  </si>
  <si>
    <t>medium fermented, medium husky</t>
  </si>
  <si>
    <t>medium fermented, medium husky, medium FO, medium cooked, slight grainy</t>
  </si>
  <si>
    <t xml:space="preserve">STR husky, STR fermented, </t>
  </si>
  <si>
    <t>medium husky, STR fermented, medium FO, medium Starchy</t>
  </si>
  <si>
    <t>STR husky,  sl.fermented</t>
  </si>
  <si>
    <t>STR Fermented, medium FO, medium cooked</t>
  </si>
  <si>
    <t>medium husky, medium grainy, medium fermented</t>
  </si>
  <si>
    <t>STR fermented, medium FO, medium husky, sl.fruity</t>
  </si>
  <si>
    <t>STR Fermented, medium husky, STR FO</t>
  </si>
  <si>
    <t>STR fermented, medium starchy</t>
  </si>
  <si>
    <t>STR fermented, medium husky, medium cooked</t>
  </si>
  <si>
    <t>STR fermented, medium FO, Slight grainy</t>
  </si>
  <si>
    <t>sl. husky, medium cooked, sl.fermented</t>
  </si>
  <si>
    <t>STR fermented, medium cooked</t>
  </si>
  <si>
    <t>medium fermented, medium starchy, medium grainy,sl.cooked</t>
  </si>
  <si>
    <t>medium husky, medium fermented, medium cooked, sl. FO</t>
  </si>
  <si>
    <t>STR husky, medium fermented, medium cooked, SL. fruity</t>
  </si>
  <si>
    <t>medium fermented, sl. Cooked, medium fruity(negative note - Guava</t>
  </si>
  <si>
    <t>STR husky, medium fermented</t>
  </si>
  <si>
    <t>STR fermented, Sl. starchy</t>
  </si>
  <si>
    <t>medium husky, medium fermented, Sl.starchy, Sl.grainy</t>
  </si>
  <si>
    <t>STR husky, medium fermented, medium cooked, sl. FO</t>
  </si>
  <si>
    <t>medium fermented, medium FO, solventy, str. Cooked, medium starchy</t>
  </si>
  <si>
    <t>STR fermented, STR starchy, STR husky</t>
  </si>
  <si>
    <t>STR husky, medium fermented, Sl. cooked</t>
  </si>
  <si>
    <t>STR fermented, Sl.fruity, Sl.floral</t>
  </si>
  <si>
    <t>STR fermented, medium FO, sl. Starchy</t>
  </si>
  <si>
    <t>medium husky, sl. grainy, medium fermented, others( sulfury)</t>
  </si>
  <si>
    <t>STR husky, STR fermented, medium starchy, Sl.cooked, Sl. grainy</t>
  </si>
  <si>
    <t>medium fermented, sl.FO, sl.husky</t>
  </si>
  <si>
    <t>STR Fermented, medium FO, sl. fruity, medium Husky</t>
  </si>
  <si>
    <t>medium husky, medium fermented</t>
  </si>
  <si>
    <t>STR fermented, STR FO, sl. fruity</t>
  </si>
  <si>
    <t>medium husky, medium fermented, sl. Floral, medium starchy</t>
  </si>
  <si>
    <t>medium fermented,medium FO, medium cooked, medium Starchy</t>
  </si>
  <si>
    <t>STR fermented , STR FO, Sl.cooked</t>
  </si>
  <si>
    <t>medium husky/cereal, medium starchy, sl. fermented (not a good fruity - guava leaf)</t>
  </si>
  <si>
    <t>STR fermented, Sl. fruity</t>
  </si>
  <si>
    <t>medium fermented, medium husky, Sl. grainy, Others(spicy , pickle oil note)</t>
  </si>
  <si>
    <t>1000 Kernel Weight (g)</t>
  </si>
  <si>
    <t>Malt Hot Water Extract 6-Row (% w/w)</t>
  </si>
  <si>
    <t>Malt Predicted Spirit Yield 6-Row (LA/T</t>
  </si>
  <si>
    <t>Malt Grist Ratio - Coarse (%w/w)</t>
  </si>
  <si>
    <t>Malt Grist Ratio - Medium (%w/w)</t>
  </si>
  <si>
    <t>Malt Grist Ratio - Fine (%w/w)</t>
  </si>
  <si>
    <t>Shelf life at the time of receipt (%)</t>
  </si>
  <si>
    <t>Shelf life at use/consumption (no. of days)</t>
  </si>
  <si>
    <t>Yeast count, Million cells/ml</t>
  </si>
  <si>
    <t>Yeast Culture Vessel, Cells % Viability</t>
  </si>
  <si>
    <t>Ferm.  Wash Final Gravity</t>
  </si>
  <si>
    <t>Ferm. wash pH</t>
  </si>
  <si>
    <t>Ferm. Wash Residual Sugar</t>
  </si>
  <si>
    <t>Ferm. Alcohol(%) 6-Row</t>
  </si>
  <si>
    <t>SD - Average Proof FMS</t>
  </si>
  <si>
    <t>Yeast Culture Vessel-Wort Initial Gravity</t>
  </si>
  <si>
    <t>Yeast Culture Vessel-Wort Final Gravity</t>
  </si>
  <si>
    <t>Malted Barley (IQP)</t>
  </si>
  <si>
    <t>Processed Water (IQP)</t>
  </si>
  <si>
    <t>Wort (OQP)</t>
  </si>
  <si>
    <t>Weak Wort (OQP)</t>
  </si>
  <si>
    <t>Fermentation (PRP)</t>
  </si>
  <si>
    <t>Mashing (PRP)</t>
  </si>
  <si>
    <t>Wort (IQP)</t>
  </si>
  <si>
    <t>CIP (PRP)</t>
  </si>
  <si>
    <t>Pre- ermentation (PRP)</t>
  </si>
  <si>
    <t>Fermentation Wash (IQP)</t>
  </si>
  <si>
    <t>Low Wine (OQP)</t>
  </si>
  <si>
    <t>Low Wine (IQP)</t>
  </si>
  <si>
    <t>Spirit Still Distillation (PRP)</t>
  </si>
  <si>
    <t>FMS (OQP)</t>
  </si>
  <si>
    <t>IQP</t>
  </si>
  <si>
    <t>Ingredient or intermediate Quality Parameter</t>
  </si>
  <si>
    <t>PRP</t>
  </si>
  <si>
    <t>Process Parameter</t>
  </si>
  <si>
    <t>OQP</t>
  </si>
  <si>
    <t>Output Quality Parameter</t>
  </si>
  <si>
    <t>Fermented Wash (OQP)</t>
  </si>
  <si>
    <t>Fermented</t>
  </si>
  <si>
    <t>FO</t>
  </si>
  <si>
    <t>Husky</t>
  </si>
  <si>
    <t>Cereal</t>
  </si>
  <si>
    <t>Grainy</t>
  </si>
  <si>
    <t>Strong</t>
  </si>
  <si>
    <t>Medium</t>
  </si>
  <si>
    <t>Slight</t>
  </si>
  <si>
    <t>Cooked</t>
  </si>
  <si>
    <t>medium</t>
  </si>
  <si>
    <r>
      <t xml:space="preserve">STR fermented, Sl.FO, </t>
    </r>
    <r>
      <rPr>
        <sz val="11"/>
        <color rgb="FFFF0000"/>
        <rFont val="Calibri"/>
        <family val="2"/>
      </rPr>
      <t>Others(pickle oil note, sulfury)</t>
    </r>
  </si>
  <si>
    <t>Starchy</t>
  </si>
  <si>
    <t>Very slight</t>
  </si>
  <si>
    <t xml:space="preserve">Strong </t>
  </si>
  <si>
    <r>
      <t xml:space="preserve">STR fermented, medium grainy, </t>
    </r>
    <r>
      <rPr>
        <sz val="11"/>
        <color rgb="FF00B050"/>
        <rFont val="Calibri"/>
        <family val="2"/>
      </rPr>
      <t>Sl.fruity</t>
    </r>
  </si>
  <si>
    <r>
      <t xml:space="preserve">medium husky, sl.fermented, </t>
    </r>
    <r>
      <rPr>
        <sz val="11"/>
        <color rgb="FF00B050"/>
        <rFont val="Calibri"/>
        <family val="2"/>
      </rPr>
      <t>sl. Fruity</t>
    </r>
  </si>
  <si>
    <r>
      <t xml:space="preserve">STR fermented, medium husky, </t>
    </r>
    <r>
      <rPr>
        <sz val="11"/>
        <color rgb="FF00B050"/>
        <rFont val="Calibri"/>
        <family val="2"/>
      </rPr>
      <t>sl. fruity</t>
    </r>
  </si>
  <si>
    <t>Medium starchy, medium fermented, medium husky, Sl. floral, FO/oily/sl. spicy</t>
  </si>
  <si>
    <t>Oily</t>
  </si>
  <si>
    <r>
      <t xml:space="preserve">STR FO, medium cereal, </t>
    </r>
    <r>
      <rPr>
        <sz val="11"/>
        <color rgb="FF00B050"/>
        <rFont val="Calibri"/>
        <family val="2"/>
        <scheme val="minor"/>
      </rPr>
      <t>sl.floral</t>
    </r>
  </si>
  <si>
    <r>
      <t>medium fermented, medium husky, medium FO, medium starchy,</t>
    </r>
    <r>
      <rPr>
        <sz val="11"/>
        <color rgb="FF00B050"/>
        <rFont val="Calibri"/>
        <family val="2"/>
        <scheme val="minor"/>
      </rPr>
      <t xml:space="preserve"> Sl.fruity, Others(spicy note)</t>
    </r>
  </si>
  <si>
    <r>
      <t xml:space="preserve">sl.husky, </t>
    </r>
    <r>
      <rPr>
        <sz val="11"/>
        <color rgb="FF00B050"/>
        <rFont val="Calibri"/>
        <family val="2"/>
        <scheme val="minor"/>
      </rPr>
      <t>Sl. floral</t>
    </r>
    <r>
      <rPr>
        <sz val="11"/>
        <color theme="1"/>
        <rFont val="Calibri"/>
        <family val="2"/>
        <scheme val="minor"/>
      </rPr>
      <t>, Sight grainy</t>
    </r>
  </si>
  <si>
    <r>
      <t xml:space="preserve">STR fermented, STR husky, medium FO, medium starchy, </t>
    </r>
    <r>
      <rPr>
        <sz val="11"/>
        <color rgb="FF00B050"/>
        <rFont val="Calibri"/>
        <family val="2"/>
        <scheme val="minor"/>
      </rPr>
      <t>slight fruity</t>
    </r>
  </si>
  <si>
    <r>
      <t xml:space="preserve">STR fermented, medium FO, </t>
    </r>
    <r>
      <rPr>
        <sz val="11"/>
        <color rgb="FF00B050"/>
        <rFont val="Calibri"/>
        <family val="2"/>
      </rPr>
      <t>Others(spicy )</t>
    </r>
  </si>
  <si>
    <r>
      <t xml:space="preserve">STR husky/cereal, </t>
    </r>
    <r>
      <rPr>
        <sz val="11"/>
        <color rgb="FF00B050"/>
        <rFont val="Calibri"/>
        <family val="2"/>
      </rPr>
      <t>sl.floral</t>
    </r>
  </si>
  <si>
    <r>
      <t>medium fermented,medium husky,</t>
    </r>
    <r>
      <rPr>
        <sz val="11"/>
        <color rgb="FFFF0000"/>
        <rFont val="Calibri"/>
        <family val="2"/>
      </rPr>
      <t xml:space="preserve"> </t>
    </r>
    <r>
      <rPr>
        <sz val="11"/>
        <color rgb="FF00B050"/>
        <rFont val="Calibri"/>
        <family val="2"/>
      </rPr>
      <t>sl. fruity, sl.floral</t>
    </r>
  </si>
  <si>
    <t>Sensory Score - TC (1 - 5 Goodness increases)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</si>
</sst>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"/>
    <numFmt numFmtId="167" formatCode="dd/mm/yy;@"/>
    <numFmt numFmtId="168" formatCode="0.000"/>
    <numFmt numFmtId="169" formatCode="0.0000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b/>
      <i/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sz val="11"/>
      <color rgb="FF3F3F76"/>
      <name val="Calibri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sz val="11"/>
      <color rgb="FF00B050"/>
      <name val="Calibri"/>
      <family val="2"/>
      <scheme val="minor"/>
    </font>
    <font>
      <b/>
      <sz val="16"/>
      <color theme="1"/>
      <name val="Arial"/>
      <family val="2"/>
    </font>
    <font>
      <b/>
      <sz val="16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3">
    <xf numFmtId="0" fontId="0" fillId="0" borderId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6" borderId="0" applyNumberFormat="0" applyBorder="0" applyAlignment="0" applyProtection="0"/>
    <xf numFmtId="0" fontId="17" fillId="3" borderId="0" applyNumberFormat="0" applyBorder="0" applyAlignment="0" applyProtection="0"/>
    <xf numFmtId="0" fontId="17" fillId="5" borderId="0" applyNumberFormat="0" applyBorder="0" applyAlignment="0" applyProtection="0"/>
    <xf numFmtId="0" fontId="17" fillId="7" borderId="0" applyNumberFormat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8" fillId="2" borderId="0" applyNumberFormat="0" applyBorder="0" applyAlignment="0" applyProtection="0"/>
    <xf numFmtId="0" fontId="19" fillId="4" borderId="20" applyNumberFormat="0" applyAlignment="0" applyProtection="0"/>
    <xf numFmtId="0" fontId="9" fillId="0" borderId="0"/>
    <xf numFmtId="0" fontId="9" fillId="0" borderId="0"/>
    <xf numFmtId="0" fontId="9" fillId="0" borderId="0"/>
    <xf numFmtId="0" fontId="16" fillId="0" borderId="0"/>
    <xf numFmtId="9" fontId="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8" fillId="0" borderId="0"/>
    <xf numFmtId="0" fontId="7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</cellStyleXfs>
  <cellXfs count="254">
    <xf numFmtId="0" fontId="0" fillId="0" borderId="0" xfId="0"/>
    <xf numFmtId="0" fontId="9" fillId="0" borderId="0" xfId="0" applyFont="1"/>
    <xf numFmtId="0" fontId="21" fillId="0" borderId="0" xfId="0" applyFont="1"/>
    <xf numFmtId="0" fontId="9" fillId="9" borderId="0" xfId="0" applyFont="1" applyFill="1" applyBorder="1"/>
    <xf numFmtId="0" fontId="14" fillId="0" borderId="0" xfId="0" applyFont="1" applyBorder="1"/>
    <xf numFmtId="0" fontId="10" fillId="0" borderId="0" xfId="0" applyFont="1" applyBorder="1" applyAlignment="1" applyProtection="1">
      <alignment horizontal="center" vertical="center"/>
      <protection locked="0"/>
    </xf>
    <xf numFmtId="0" fontId="10" fillId="0" borderId="0" xfId="0" applyFont="1" applyBorder="1"/>
    <xf numFmtId="167" fontId="10" fillId="9" borderId="0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9" borderId="0" xfId="0" applyFont="1" applyFill="1" applyBorder="1" applyAlignment="1" applyProtection="1">
      <alignment horizontal="center" vertical="center"/>
      <protection locked="0"/>
    </xf>
    <xf numFmtId="2" fontId="10" fillId="0" borderId="0" xfId="0" applyNumberFormat="1" applyFont="1" applyBorder="1" applyAlignment="1" applyProtection="1">
      <alignment horizontal="center" vertical="center"/>
      <protection locked="0"/>
    </xf>
    <xf numFmtId="167" fontId="10" fillId="0" borderId="0" xfId="0" applyNumberFormat="1" applyFont="1" applyBorder="1" applyAlignment="1">
      <alignment horizontal="center" vertical="center"/>
    </xf>
    <xf numFmtId="167" fontId="10" fillId="0" borderId="0" xfId="0" applyNumberFormat="1" applyFont="1" applyBorder="1" applyAlignment="1" applyProtection="1">
      <alignment horizontal="center" vertical="center"/>
      <protection locked="0"/>
    </xf>
    <xf numFmtId="14" fontId="10" fillId="0" borderId="0" xfId="0" applyNumberFormat="1" applyFont="1" applyBorder="1" applyAlignment="1" applyProtection="1">
      <alignment horizontal="center" vertical="center"/>
      <protection locked="0"/>
    </xf>
    <xf numFmtId="14" fontId="22" fillId="0" borderId="0" xfId="0" applyNumberFormat="1" applyFont="1" applyAlignment="1" applyProtection="1">
      <alignment horizontal="center" vertical="center"/>
      <protection locked="0"/>
    </xf>
    <xf numFmtId="0" fontId="22" fillId="0" borderId="0" xfId="0" applyFont="1" applyBorder="1" applyAlignment="1" applyProtection="1">
      <alignment horizontal="center" vertical="center"/>
      <protection locked="0"/>
    </xf>
    <xf numFmtId="167" fontId="22" fillId="0" borderId="0" xfId="0" applyNumberFormat="1" applyFont="1" applyBorder="1" applyAlignment="1" applyProtection="1">
      <alignment horizontal="center" vertical="center"/>
      <protection locked="0"/>
    </xf>
    <xf numFmtId="0" fontId="22" fillId="0" borderId="0" xfId="0" applyFont="1" applyBorder="1"/>
    <xf numFmtId="168" fontId="22" fillId="0" borderId="0" xfId="0" applyNumberFormat="1" applyFont="1" applyBorder="1" applyAlignment="1" applyProtection="1">
      <alignment horizontal="center" vertical="center"/>
      <protection locked="0"/>
    </xf>
    <xf numFmtId="0" fontId="22" fillId="9" borderId="0" xfId="0" applyFont="1" applyFill="1" applyBorder="1"/>
    <xf numFmtId="2" fontId="22" fillId="0" borderId="0" xfId="0" applyNumberFormat="1" applyFont="1" applyBorder="1" applyAlignment="1" applyProtection="1">
      <alignment horizontal="center" vertical="center"/>
      <protection locked="0"/>
    </xf>
    <xf numFmtId="14" fontId="22" fillId="0" borderId="0" xfId="0" applyNumberFormat="1" applyFont="1" applyBorder="1" applyAlignment="1" applyProtection="1">
      <alignment horizontal="center" vertical="center"/>
      <protection locked="0"/>
    </xf>
    <xf numFmtId="167" fontId="22" fillId="0" borderId="0" xfId="0" applyNumberFormat="1" applyFont="1" applyBorder="1" applyAlignment="1">
      <alignment horizontal="center" vertical="center"/>
    </xf>
    <xf numFmtId="1" fontId="22" fillId="0" borderId="0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Border="1"/>
    <xf numFmtId="0" fontId="23" fillId="0" borderId="0" xfId="0" applyFont="1" applyBorder="1"/>
    <xf numFmtId="0" fontId="23" fillId="0" borderId="0" xfId="0" applyFont="1" applyFill="1" applyBorder="1"/>
    <xf numFmtId="2" fontId="26" fillId="12" borderId="2" xfId="0" applyNumberFormat="1" applyFont="1" applyFill="1" applyBorder="1" applyAlignment="1">
      <alignment horizontal="center"/>
    </xf>
    <xf numFmtId="0" fontId="22" fillId="12" borderId="1" xfId="0" applyFont="1" applyFill="1" applyBorder="1"/>
    <xf numFmtId="2" fontId="26" fillId="12" borderId="1" xfId="0" applyNumberFormat="1" applyFont="1" applyFill="1" applyBorder="1" applyAlignment="1">
      <alignment horizontal="center"/>
    </xf>
    <xf numFmtId="1" fontId="26" fillId="12" borderId="1" xfId="0" applyNumberFormat="1" applyFont="1" applyFill="1" applyBorder="1" applyAlignment="1">
      <alignment horizontal="center"/>
    </xf>
    <xf numFmtId="0" fontId="22" fillId="12" borderId="3" xfId="0" applyFont="1" applyFill="1" applyBorder="1"/>
    <xf numFmtId="1" fontId="26" fillId="12" borderId="2" xfId="0" applyNumberFormat="1" applyFont="1" applyFill="1" applyBorder="1" applyAlignment="1">
      <alignment horizontal="center"/>
    </xf>
    <xf numFmtId="0" fontId="27" fillId="12" borderId="1" xfId="0" applyFont="1" applyFill="1" applyBorder="1" applyAlignment="1">
      <alignment horizontal="center"/>
    </xf>
    <xf numFmtId="0" fontId="27" fillId="12" borderId="3" xfId="0" applyFont="1" applyFill="1" applyBorder="1" applyAlignment="1">
      <alignment horizontal="center"/>
    </xf>
    <xf numFmtId="0" fontId="27" fillId="12" borderId="1" xfId="0" applyFont="1" applyFill="1" applyBorder="1" applyAlignment="1" applyProtection="1">
      <alignment horizontal="center"/>
      <protection locked="0"/>
    </xf>
    <xf numFmtId="1" fontId="26" fillId="12" borderId="3" xfId="0" applyNumberFormat="1" applyFont="1" applyFill="1" applyBorder="1" applyAlignment="1">
      <alignment horizontal="center"/>
    </xf>
    <xf numFmtId="2" fontId="27" fillId="12" borderId="1" xfId="0" applyNumberFormat="1" applyFont="1" applyFill="1" applyBorder="1" applyAlignment="1" applyProtection="1">
      <alignment horizontal="center"/>
      <protection locked="0"/>
    </xf>
    <xf numFmtId="0" fontId="27" fillId="12" borderId="1" xfId="0" applyFont="1" applyFill="1" applyBorder="1"/>
    <xf numFmtId="0" fontId="27" fillId="12" borderId="2" xfId="0" applyFont="1" applyFill="1" applyBorder="1" applyAlignment="1" applyProtection="1">
      <alignment horizontal="center"/>
      <protection locked="0"/>
    </xf>
    <xf numFmtId="0" fontId="27" fillId="12" borderId="3" xfId="0" applyFont="1" applyFill="1" applyBorder="1" applyAlignment="1" applyProtection="1">
      <alignment horizontal="center"/>
      <protection locked="0"/>
    </xf>
    <xf numFmtId="2" fontId="27" fillId="12" borderId="1" xfId="0" applyNumberFormat="1" applyFont="1" applyFill="1" applyBorder="1" applyAlignment="1">
      <alignment horizontal="center"/>
    </xf>
    <xf numFmtId="0" fontId="27" fillId="12" borderId="3" xfId="0" applyFont="1" applyFill="1" applyBorder="1"/>
    <xf numFmtId="2" fontId="27" fillId="12" borderId="2" xfId="0" applyNumberFormat="1" applyFont="1" applyFill="1" applyBorder="1" applyAlignment="1" applyProtection="1">
      <alignment horizontal="center" vertical="center"/>
      <protection locked="0"/>
    </xf>
    <xf numFmtId="2" fontId="27" fillId="12" borderId="1" xfId="0" applyNumberFormat="1" applyFont="1" applyFill="1" applyBorder="1" applyAlignment="1" applyProtection="1">
      <alignment horizontal="center" vertical="center"/>
      <protection locked="0"/>
    </xf>
    <xf numFmtId="2" fontId="27" fillId="12" borderId="3" xfId="0" applyNumberFormat="1" applyFont="1" applyFill="1" applyBorder="1" applyAlignment="1" applyProtection="1">
      <alignment horizontal="center" vertical="center"/>
      <protection locked="0"/>
    </xf>
    <xf numFmtId="2" fontId="26" fillId="12" borderId="4" xfId="0" applyNumberFormat="1" applyFont="1" applyFill="1" applyBorder="1" applyAlignment="1">
      <alignment horizontal="center"/>
    </xf>
    <xf numFmtId="0" fontId="22" fillId="12" borderId="5" xfId="0" applyFont="1" applyFill="1" applyBorder="1"/>
    <xf numFmtId="2" fontId="26" fillId="12" borderId="5" xfId="0" applyNumberFormat="1" applyFont="1" applyFill="1" applyBorder="1" applyAlignment="1">
      <alignment horizontal="center"/>
    </xf>
    <xf numFmtId="0" fontId="27" fillId="12" borderId="5" xfId="0" applyFont="1" applyFill="1" applyBorder="1" applyAlignment="1">
      <alignment horizontal="center"/>
    </xf>
    <xf numFmtId="1" fontId="26" fillId="12" borderId="5" xfId="0" applyNumberFormat="1" applyFont="1" applyFill="1" applyBorder="1" applyAlignment="1">
      <alignment horizontal="center"/>
    </xf>
    <xf numFmtId="0" fontId="27" fillId="12" borderId="5" xfId="0" applyFont="1" applyFill="1" applyBorder="1" applyAlignment="1" applyProtection="1">
      <alignment horizontal="center"/>
      <protection locked="0"/>
    </xf>
    <xf numFmtId="0" fontId="22" fillId="12" borderId="6" xfId="0" applyFont="1" applyFill="1" applyBorder="1"/>
    <xf numFmtId="2" fontId="27" fillId="12" borderId="4" xfId="0" applyNumberFormat="1" applyFont="1" applyFill="1" applyBorder="1" applyAlignment="1" applyProtection="1">
      <alignment horizontal="center" vertical="center"/>
      <protection locked="0"/>
    </xf>
    <xf numFmtId="2" fontId="27" fillId="12" borderId="5" xfId="0" applyNumberFormat="1" applyFont="1" applyFill="1" applyBorder="1" applyAlignment="1" applyProtection="1">
      <alignment horizontal="center" vertical="center"/>
      <protection locked="0"/>
    </xf>
    <xf numFmtId="2" fontId="27" fillId="12" borderId="6" xfId="0" applyNumberFormat="1" applyFont="1" applyFill="1" applyBorder="1" applyAlignment="1" applyProtection="1">
      <alignment horizontal="center" vertical="center"/>
      <protection locked="0"/>
    </xf>
    <xf numFmtId="0" fontId="9" fillId="12" borderId="0" xfId="0" applyFont="1" applyFill="1" applyBorder="1"/>
    <xf numFmtId="0" fontId="22" fillId="12" borderId="1" xfId="0" applyFont="1" applyFill="1" applyBorder="1" applyAlignment="1">
      <alignment horizontal="center" vertical="center" wrapText="1"/>
    </xf>
    <xf numFmtId="0" fontId="22" fillId="12" borderId="7" xfId="0" applyFont="1" applyFill="1" applyBorder="1" applyAlignment="1">
      <alignment horizontal="center" vertical="center" wrapText="1"/>
    </xf>
    <xf numFmtId="49" fontId="22" fillId="12" borderId="2" xfId="0" applyNumberFormat="1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 applyProtection="1">
      <alignment horizontal="center" vertical="center"/>
      <protection locked="0"/>
    </xf>
    <xf numFmtId="0" fontId="22" fillId="12" borderId="1" xfId="0" applyFont="1" applyFill="1" applyBorder="1" applyAlignment="1">
      <alignment horizontal="center"/>
    </xf>
    <xf numFmtId="49" fontId="22" fillId="12" borderId="4" xfId="0" applyNumberFormat="1" applyFont="1" applyFill="1" applyBorder="1" applyAlignment="1">
      <alignment horizontal="center" vertical="center"/>
    </xf>
    <xf numFmtId="0" fontId="22" fillId="12" borderId="5" xfId="0" applyFont="1" applyFill="1" applyBorder="1" applyAlignment="1">
      <alignment horizontal="center" vertical="center"/>
    </xf>
    <xf numFmtId="0" fontId="22" fillId="12" borderId="5" xfId="0" applyFont="1" applyFill="1" applyBorder="1" applyAlignment="1" applyProtection="1">
      <alignment horizontal="center" vertical="center"/>
      <protection locked="0"/>
    </xf>
    <xf numFmtId="0" fontId="22" fillId="12" borderId="13" xfId="0" applyFont="1" applyFill="1" applyBorder="1" applyAlignment="1">
      <alignment horizontal="center" vertical="center" wrapText="1"/>
    </xf>
    <xf numFmtId="168" fontId="28" fillId="12" borderId="2" xfId="0" applyNumberFormat="1" applyFont="1" applyFill="1" applyBorder="1" applyAlignment="1">
      <alignment horizontal="center"/>
    </xf>
    <xf numFmtId="168" fontId="28" fillId="12" borderId="4" xfId="0" applyNumberFormat="1" applyFont="1" applyFill="1" applyBorder="1" applyAlignment="1">
      <alignment horizontal="center"/>
    </xf>
    <xf numFmtId="0" fontId="22" fillId="12" borderId="5" xfId="0" applyFont="1" applyFill="1" applyBorder="1" applyAlignment="1">
      <alignment horizontal="center" vertical="center" wrapText="1"/>
    </xf>
    <xf numFmtId="166" fontId="22" fillId="12" borderId="2" xfId="0" applyNumberFormat="1" applyFont="1" applyFill="1" applyBorder="1" applyAlignment="1" applyProtection="1">
      <alignment horizontal="center" vertical="center"/>
      <protection locked="0"/>
    </xf>
    <xf numFmtId="166" fontId="22" fillId="12" borderId="4" xfId="0" applyNumberFormat="1" applyFont="1" applyFill="1" applyBorder="1" applyAlignment="1" applyProtection="1">
      <alignment horizontal="center" vertical="center"/>
      <protection locked="0"/>
    </xf>
    <xf numFmtId="0" fontId="22" fillId="13" borderId="2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49" fontId="22" fillId="13" borderId="1" xfId="0" applyNumberFormat="1" applyFont="1" applyFill="1" applyBorder="1" applyAlignment="1">
      <alignment horizontal="center" vertical="center"/>
    </xf>
    <xf numFmtId="0" fontId="22" fillId="13" borderId="1" xfId="0" applyFont="1" applyFill="1" applyBorder="1" applyAlignment="1" applyProtection="1">
      <alignment horizontal="center" vertical="center"/>
      <protection locked="0"/>
    </xf>
    <xf numFmtId="0" fontId="22" fillId="13" borderId="3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/>
    </xf>
    <xf numFmtId="0" fontId="22" fillId="13" borderId="4" xfId="0" applyFont="1" applyFill="1" applyBorder="1" applyAlignment="1">
      <alignment horizontal="center" vertical="center"/>
    </xf>
    <xf numFmtId="0" fontId="22" fillId="13" borderId="5" xfId="0" applyFont="1" applyFill="1" applyBorder="1" applyAlignment="1">
      <alignment horizontal="center" vertical="center"/>
    </xf>
    <xf numFmtId="0" fontId="22" fillId="13" borderId="5" xfId="0" applyFont="1" applyFill="1" applyBorder="1" applyAlignment="1" applyProtection="1">
      <alignment horizontal="center" vertical="center"/>
      <protection locked="0"/>
    </xf>
    <xf numFmtId="0" fontId="22" fillId="13" borderId="6" xfId="0" applyFont="1" applyFill="1" applyBorder="1" applyAlignment="1">
      <alignment horizontal="center" vertical="center"/>
    </xf>
    <xf numFmtId="166" fontId="22" fillId="13" borderId="2" xfId="0" applyNumberFormat="1" applyFont="1" applyFill="1" applyBorder="1" applyAlignment="1">
      <alignment horizontal="center" vertical="center"/>
    </xf>
    <xf numFmtId="1" fontId="22" fillId="13" borderId="1" xfId="0" applyNumberFormat="1" applyFont="1" applyFill="1" applyBorder="1" applyAlignment="1">
      <alignment horizontal="center" vertical="center"/>
    </xf>
    <xf numFmtId="1" fontId="22" fillId="13" borderId="3" xfId="0" applyNumberFormat="1" applyFont="1" applyFill="1" applyBorder="1" applyAlignment="1">
      <alignment horizontal="center" vertical="center"/>
    </xf>
    <xf numFmtId="168" fontId="22" fillId="13" borderId="2" xfId="0" applyNumberFormat="1" applyFont="1" applyFill="1" applyBorder="1" applyAlignment="1">
      <alignment horizontal="center" vertical="center"/>
    </xf>
    <xf numFmtId="168" fontId="22" fillId="13" borderId="1" xfId="0" applyNumberFormat="1" applyFont="1" applyFill="1" applyBorder="1" applyAlignment="1">
      <alignment horizontal="center" vertical="center"/>
    </xf>
    <xf numFmtId="1" fontId="22" fillId="13" borderId="2" xfId="0" applyNumberFormat="1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168" fontId="22" fillId="13" borderId="2" xfId="0" applyNumberFormat="1" applyFont="1" applyFill="1" applyBorder="1" applyAlignment="1" applyProtection="1">
      <alignment horizontal="center" vertical="center"/>
      <protection locked="0"/>
    </xf>
    <xf numFmtId="168" fontId="22" fillId="13" borderId="1" xfId="0" applyNumberFormat="1" applyFont="1" applyFill="1" applyBorder="1" applyAlignment="1" applyProtection="1">
      <alignment horizontal="center" vertical="center"/>
      <protection locked="0"/>
    </xf>
    <xf numFmtId="169" fontId="22" fillId="13" borderId="2" xfId="0" applyNumberFormat="1" applyFont="1" applyFill="1" applyBorder="1" applyAlignment="1" applyProtection="1">
      <alignment horizontal="center" vertical="center"/>
      <protection locked="0"/>
    </xf>
    <xf numFmtId="14" fontId="22" fillId="13" borderId="1" xfId="0" applyNumberFormat="1" applyFont="1" applyFill="1" applyBorder="1" applyAlignment="1">
      <alignment horizontal="center" vertical="center"/>
    </xf>
    <xf numFmtId="14" fontId="22" fillId="13" borderId="3" xfId="0" applyNumberFormat="1" applyFont="1" applyFill="1" applyBorder="1" applyAlignment="1">
      <alignment horizontal="center" vertical="center"/>
    </xf>
    <xf numFmtId="14" fontId="22" fillId="13" borderId="2" xfId="0" applyNumberFormat="1" applyFont="1" applyFill="1" applyBorder="1" applyAlignment="1">
      <alignment horizontal="center" vertical="center"/>
    </xf>
    <xf numFmtId="166" fontId="22" fillId="13" borderId="2" xfId="0" applyNumberFormat="1" applyFont="1" applyFill="1" applyBorder="1" applyAlignment="1" applyProtection="1">
      <alignment horizontal="center" vertical="center"/>
      <protection locked="0"/>
    </xf>
    <xf numFmtId="166" fontId="22" fillId="13" borderId="1" xfId="0" applyNumberFormat="1" applyFont="1" applyFill="1" applyBorder="1" applyAlignment="1" applyProtection="1">
      <alignment horizontal="center" vertical="center"/>
      <protection locked="0"/>
    </xf>
    <xf numFmtId="166" fontId="22" fillId="13" borderId="4" xfId="0" applyNumberFormat="1" applyFont="1" applyFill="1" applyBorder="1" applyAlignment="1">
      <alignment horizontal="center" vertical="center"/>
    </xf>
    <xf numFmtId="1" fontId="22" fillId="13" borderId="5" xfId="0" applyNumberFormat="1" applyFont="1" applyFill="1" applyBorder="1" applyAlignment="1">
      <alignment horizontal="center" vertical="center"/>
    </xf>
    <xf numFmtId="1" fontId="22" fillId="13" borderId="6" xfId="0" applyNumberFormat="1" applyFont="1" applyFill="1" applyBorder="1" applyAlignment="1">
      <alignment horizontal="center" vertical="center"/>
    </xf>
    <xf numFmtId="14" fontId="22" fillId="13" borderId="4" xfId="0" applyNumberFormat="1" applyFont="1" applyFill="1" applyBorder="1" applyAlignment="1">
      <alignment horizontal="center" vertical="center"/>
    </xf>
    <xf numFmtId="14" fontId="22" fillId="13" borderId="5" xfId="0" applyNumberFormat="1" applyFont="1" applyFill="1" applyBorder="1" applyAlignment="1">
      <alignment horizontal="center" vertical="center"/>
    </xf>
    <xf numFmtId="14" fontId="22" fillId="13" borderId="6" xfId="0" applyNumberFormat="1" applyFont="1" applyFill="1" applyBorder="1" applyAlignment="1">
      <alignment horizontal="center" vertical="center"/>
    </xf>
    <xf numFmtId="168" fontId="22" fillId="13" borderId="5" xfId="0" applyNumberFormat="1" applyFont="1" applyFill="1" applyBorder="1" applyAlignment="1">
      <alignment horizontal="center" vertical="center"/>
    </xf>
    <xf numFmtId="0" fontId="28" fillId="13" borderId="5" xfId="0" applyFont="1" applyFill="1" applyBorder="1" applyAlignment="1">
      <alignment horizontal="center" vertical="center"/>
    </xf>
    <xf numFmtId="0" fontId="22" fillId="13" borderId="2" xfId="0" applyFont="1" applyFill="1" applyBorder="1" applyAlignment="1" applyProtection="1">
      <alignment horizontal="center" vertical="center"/>
      <protection locked="0"/>
    </xf>
    <xf numFmtId="2" fontId="22" fillId="13" borderId="1" xfId="0" applyNumberFormat="1" applyFont="1" applyFill="1" applyBorder="1" applyAlignment="1" applyProtection="1">
      <alignment horizontal="center" vertical="center"/>
      <protection locked="0"/>
    </xf>
    <xf numFmtId="0" fontId="22" fillId="13" borderId="4" xfId="0" applyFont="1" applyFill="1" applyBorder="1" applyAlignment="1" applyProtection="1">
      <alignment horizontal="center" vertical="center"/>
      <protection locked="0"/>
    </xf>
    <xf numFmtId="2" fontId="22" fillId="13" borderId="1" xfId="0" applyNumberFormat="1" applyFont="1" applyFill="1" applyBorder="1" applyAlignment="1">
      <alignment horizontal="center" vertical="center"/>
    </xf>
    <xf numFmtId="2" fontId="22" fillId="13" borderId="5" xfId="0" applyNumberFormat="1" applyFont="1" applyFill="1" applyBorder="1" applyAlignment="1">
      <alignment horizontal="center" vertical="center"/>
    </xf>
    <xf numFmtId="0" fontId="22" fillId="14" borderId="1" xfId="0" applyFont="1" applyFill="1" applyBorder="1"/>
    <xf numFmtId="0" fontId="22" fillId="14" borderId="1" xfId="0" applyFont="1" applyFill="1" applyBorder="1" applyAlignment="1">
      <alignment horizontal="center" vertical="center" wrapText="1"/>
    </xf>
    <xf numFmtId="49" fontId="22" fillId="14" borderId="2" xfId="0" applyNumberFormat="1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14" borderId="3" xfId="0" applyFont="1" applyFill="1" applyBorder="1" applyAlignment="1" applyProtection="1">
      <alignment horizontal="center" vertical="center"/>
      <protection locked="0"/>
    </xf>
    <xf numFmtId="0" fontId="22" fillId="14" borderId="1" xfId="0" applyFont="1" applyFill="1" applyBorder="1" applyAlignment="1">
      <alignment horizontal="center"/>
    </xf>
    <xf numFmtId="0" fontId="22" fillId="14" borderId="1" xfId="0" applyFont="1" applyFill="1" applyBorder="1" applyAlignment="1" applyProtection="1">
      <alignment horizontal="center" vertical="center"/>
      <protection locked="0"/>
    </xf>
    <xf numFmtId="49" fontId="22" fillId="14" borderId="4" xfId="0" applyNumberFormat="1" applyFont="1" applyFill="1" applyBorder="1" applyAlignment="1">
      <alignment horizontal="center" vertical="center"/>
    </xf>
    <xf numFmtId="0" fontId="22" fillId="14" borderId="5" xfId="0" applyFont="1" applyFill="1" applyBorder="1" applyAlignment="1">
      <alignment horizontal="center" vertical="center"/>
    </xf>
    <xf numFmtId="0" fontId="22" fillId="14" borderId="6" xfId="0" applyFont="1" applyFill="1" applyBorder="1" applyAlignment="1" applyProtection="1">
      <alignment horizontal="center" vertical="center"/>
      <protection locked="0"/>
    </xf>
    <xf numFmtId="0" fontId="22" fillId="14" borderId="2" xfId="0" applyFont="1" applyFill="1" applyBorder="1" applyAlignment="1">
      <alignment horizontal="center" vertical="center"/>
    </xf>
    <xf numFmtId="0" fontId="22" fillId="14" borderId="3" xfId="0" applyFont="1" applyFill="1" applyBorder="1" applyAlignment="1">
      <alignment horizontal="center" vertical="center"/>
    </xf>
    <xf numFmtId="0" fontId="22" fillId="14" borderId="2" xfId="0" applyFont="1" applyFill="1" applyBorder="1" applyAlignment="1">
      <alignment horizontal="center"/>
    </xf>
    <xf numFmtId="0" fontId="22" fillId="14" borderId="3" xfId="0" applyFont="1" applyFill="1" applyBorder="1" applyAlignment="1">
      <alignment horizontal="center"/>
    </xf>
    <xf numFmtId="0" fontId="22" fillId="14" borderId="2" xfId="0" applyFont="1" applyFill="1" applyBorder="1" applyAlignment="1" applyProtection="1">
      <alignment horizontal="center" vertical="center"/>
      <protection locked="0"/>
    </xf>
    <xf numFmtId="0" fontId="22" fillId="14" borderId="4" xfId="0" applyFont="1" applyFill="1" applyBorder="1" applyAlignment="1" applyProtection="1">
      <alignment horizontal="center" vertical="center"/>
      <protection locked="0"/>
    </xf>
    <xf numFmtId="0" fontId="22" fillId="14" borderId="5" xfId="0" applyFont="1" applyFill="1" applyBorder="1" applyAlignment="1" applyProtection="1">
      <alignment horizontal="center" vertical="center"/>
      <protection locked="0"/>
    </xf>
    <xf numFmtId="168" fontId="28" fillId="14" borderId="2" xfId="0" applyNumberFormat="1" applyFont="1" applyFill="1" applyBorder="1" applyAlignment="1">
      <alignment horizontal="center"/>
    </xf>
    <xf numFmtId="168" fontId="28" fillId="14" borderId="4" xfId="0" applyNumberFormat="1" applyFont="1" applyFill="1" applyBorder="1" applyAlignment="1">
      <alignment horizontal="center"/>
    </xf>
    <xf numFmtId="0" fontId="22" fillId="14" borderId="5" xfId="0" applyFont="1" applyFill="1" applyBorder="1" applyAlignment="1">
      <alignment horizontal="center" vertical="center" wrapText="1"/>
    </xf>
    <xf numFmtId="166" fontId="22" fillId="14" borderId="2" xfId="0" applyNumberFormat="1" applyFont="1" applyFill="1" applyBorder="1" applyAlignment="1" applyProtection="1">
      <alignment horizontal="center" vertical="center"/>
      <protection locked="0"/>
    </xf>
    <xf numFmtId="166" fontId="22" fillId="14" borderId="4" xfId="0" applyNumberFormat="1" applyFont="1" applyFill="1" applyBorder="1" applyAlignment="1" applyProtection="1">
      <alignment horizontal="center" vertical="center"/>
      <protection locked="0"/>
    </xf>
    <xf numFmtId="0" fontId="20" fillId="14" borderId="1" xfId="0" applyFont="1" applyFill="1" applyBorder="1"/>
    <xf numFmtId="166" fontId="22" fillId="14" borderId="1" xfId="0" applyNumberFormat="1" applyFont="1" applyFill="1" applyBorder="1" applyAlignment="1">
      <alignment horizontal="center" vertical="center"/>
    </xf>
    <xf numFmtId="166" fontId="22" fillId="14" borderId="3" xfId="0" applyNumberFormat="1" applyFont="1" applyFill="1" applyBorder="1" applyAlignment="1">
      <alignment horizontal="center" vertical="center"/>
    </xf>
    <xf numFmtId="0" fontId="5" fillId="14" borderId="1" xfId="0" applyFont="1" applyFill="1" applyBorder="1"/>
    <xf numFmtId="0" fontId="22" fillId="14" borderId="4" xfId="0" applyFont="1" applyFill="1" applyBorder="1" applyAlignment="1">
      <alignment horizontal="center"/>
    </xf>
    <xf numFmtId="0" fontId="5" fillId="14" borderId="5" xfId="0" applyFont="1" applyFill="1" applyBorder="1"/>
    <xf numFmtId="166" fontId="22" fillId="14" borderId="5" xfId="0" applyNumberFormat="1" applyFont="1" applyFill="1" applyBorder="1" applyAlignment="1">
      <alignment horizontal="center" vertical="center"/>
    </xf>
    <xf numFmtId="166" fontId="22" fillId="14" borderId="6" xfId="0" applyNumberFormat="1" applyFont="1" applyFill="1" applyBorder="1" applyAlignment="1">
      <alignment horizontal="center" vertical="center"/>
    </xf>
    <xf numFmtId="0" fontId="22" fillId="10" borderId="7" xfId="0" applyFont="1" applyFill="1" applyBorder="1" applyAlignment="1" applyProtection="1">
      <alignment horizontal="center" vertical="center"/>
      <protection locked="0"/>
    </xf>
    <xf numFmtId="0" fontId="22" fillId="10" borderId="7" xfId="0" applyFont="1" applyFill="1" applyBorder="1" applyAlignment="1">
      <alignment horizontal="center" vertical="center"/>
    </xf>
    <xf numFmtId="0" fontId="9" fillId="13" borderId="0" xfId="0" applyFont="1" applyFill="1" applyBorder="1"/>
    <xf numFmtId="0" fontId="9" fillId="11" borderId="0" xfId="0" applyFont="1" applyFill="1" applyBorder="1"/>
    <xf numFmtId="0" fontId="15" fillId="0" borderId="0" xfId="0" applyFont="1" applyFill="1" applyBorder="1"/>
    <xf numFmtId="0" fontId="21" fillId="0" borderId="0" xfId="0" applyFont="1" applyFill="1"/>
    <xf numFmtId="0" fontId="22" fillId="10" borderId="11" xfId="0" applyFont="1" applyFill="1" applyBorder="1" applyAlignment="1">
      <alignment horizontal="center" vertical="center"/>
    </xf>
    <xf numFmtId="2" fontId="26" fillId="12" borderId="10" xfId="0" applyNumberFormat="1" applyFont="1" applyFill="1" applyBorder="1" applyAlignment="1">
      <alignment horizontal="center"/>
    </xf>
    <xf numFmtId="0" fontId="22" fillId="12" borderId="8" xfId="0" applyFont="1" applyFill="1" applyBorder="1"/>
    <xf numFmtId="2" fontId="26" fillId="12" borderId="8" xfId="0" applyNumberFormat="1" applyFont="1" applyFill="1" applyBorder="1" applyAlignment="1">
      <alignment horizontal="center"/>
    </xf>
    <xf numFmtId="1" fontId="26" fillId="12" borderId="8" xfId="0" applyNumberFormat="1" applyFont="1" applyFill="1" applyBorder="1" applyAlignment="1">
      <alignment horizontal="center"/>
    </xf>
    <xf numFmtId="0" fontId="22" fillId="12" borderId="9" xfId="0" applyFont="1" applyFill="1" applyBorder="1"/>
    <xf numFmtId="1" fontId="26" fillId="12" borderId="10" xfId="0" applyNumberFormat="1" applyFont="1" applyFill="1" applyBorder="1" applyAlignment="1">
      <alignment horizontal="center"/>
    </xf>
    <xf numFmtId="0" fontId="27" fillId="12" borderId="8" xfId="0" applyFont="1" applyFill="1" applyBorder="1" applyAlignment="1">
      <alignment horizontal="center"/>
    </xf>
    <xf numFmtId="0" fontId="27" fillId="12" borderId="9" xfId="0" applyFont="1" applyFill="1" applyBorder="1" applyAlignment="1">
      <alignment horizontal="center"/>
    </xf>
    <xf numFmtId="0" fontId="22" fillId="13" borderId="10" xfId="0" applyFont="1" applyFill="1" applyBorder="1" applyAlignment="1">
      <alignment horizontal="center" vertical="center"/>
    </xf>
    <xf numFmtId="0" fontId="22" fillId="13" borderId="8" xfId="0" applyFont="1" applyFill="1" applyBorder="1" applyAlignment="1">
      <alignment horizontal="center" vertical="center"/>
    </xf>
    <xf numFmtId="49" fontId="22" fillId="13" borderId="8" xfId="0" applyNumberFormat="1" applyFont="1" applyFill="1" applyBorder="1" applyAlignment="1">
      <alignment horizontal="center" vertical="center"/>
    </xf>
    <xf numFmtId="0" fontId="22" fillId="13" borderId="8" xfId="0" applyFont="1" applyFill="1" applyBorder="1" applyAlignment="1" applyProtection="1">
      <alignment horizontal="center" vertical="center"/>
      <protection locked="0"/>
    </xf>
    <xf numFmtId="0" fontId="22" fillId="13" borderId="9" xfId="0" applyFont="1" applyFill="1" applyBorder="1" applyAlignment="1">
      <alignment horizontal="center" vertical="center"/>
    </xf>
    <xf numFmtId="49" fontId="22" fillId="14" borderId="10" xfId="0" applyNumberFormat="1" applyFont="1" applyFill="1" applyBorder="1" applyAlignment="1">
      <alignment horizontal="center" vertical="center"/>
    </xf>
    <xf numFmtId="0" fontId="22" fillId="14" borderId="8" xfId="0" applyFont="1" applyFill="1" applyBorder="1" applyAlignment="1">
      <alignment horizontal="center" vertical="center"/>
    </xf>
    <xf numFmtId="0" fontId="22" fillId="14" borderId="10" xfId="0" applyFont="1" applyFill="1" applyBorder="1" applyAlignment="1">
      <alignment horizontal="center" vertical="center"/>
    </xf>
    <xf numFmtId="0" fontId="22" fillId="14" borderId="9" xfId="0" applyFont="1" applyFill="1" applyBorder="1" applyAlignment="1">
      <alignment horizontal="center" vertical="center"/>
    </xf>
    <xf numFmtId="167" fontId="23" fillId="10" borderId="17" xfId="0" applyNumberFormat="1" applyFont="1" applyFill="1" applyBorder="1" applyAlignment="1" applyProtection="1">
      <alignment horizontal="center" vertical="center"/>
      <protection locked="0"/>
    </xf>
    <xf numFmtId="0" fontId="24" fillId="10" borderId="12" xfId="0" applyFont="1" applyFill="1" applyBorder="1" applyAlignment="1" applyProtection="1">
      <alignment horizontal="center" vertical="center" wrapText="1"/>
      <protection locked="0"/>
    </xf>
    <xf numFmtId="0" fontId="25" fillId="12" borderId="4" xfId="0" applyFont="1" applyFill="1" applyBorder="1" applyAlignment="1">
      <alignment horizontal="center" vertical="center" wrapText="1"/>
    </xf>
    <xf numFmtId="0" fontId="25" fillId="12" borderId="5" xfId="0" applyFont="1" applyFill="1" applyBorder="1" applyAlignment="1">
      <alignment horizontal="center" vertical="center" wrapText="1"/>
    </xf>
    <xf numFmtId="0" fontId="25" fillId="12" borderId="6" xfId="0" applyFont="1" applyFill="1" applyBorder="1" applyAlignment="1">
      <alignment horizontal="center" vertical="center" wrapText="1"/>
    </xf>
    <xf numFmtId="0" fontId="23" fillId="13" borderId="4" xfId="0" applyFont="1" applyFill="1" applyBorder="1" applyAlignment="1">
      <alignment horizontal="center" vertical="center" wrapText="1"/>
    </xf>
    <xf numFmtId="0" fontId="23" fillId="13" borderId="5" xfId="0" applyFont="1" applyFill="1" applyBorder="1" applyAlignment="1">
      <alignment horizontal="center" vertical="center" wrapText="1"/>
    </xf>
    <xf numFmtId="0" fontId="23" fillId="13" borderId="6" xfId="0" applyFont="1" applyFill="1" applyBorder="1" applyAlignment="1">
      <alignment horizontal="center" vertical="center" wrapText="1"/>
    </xf>
    <xf numFmtId="0" fontId="23" fillId="14" borderId="4" xfId="0" applyFont="1" applyFill="1" applyBorder="1" applyAlignment="1">
      <alignment horizontal="center" vertical="center" wrapText="1"/>
    </xf>
    <xf numFmtId="0" fontId="23" fillId="14" borderId="5" xfId="0" applyFont="1" applyFill="1" applyBorder="1" applyAlignment="1">
      <alignment horizontal="center" vertical="center" wrapText="1"/>
    </xf>
    <xf numFmtId="0" fontId="23" fillId="14" borderId="6" xfId="0" applyFont="1" applyFill="1" applyBorder="1" applyAlignment="1">
      <alignment horizontal="center" vertical="center" wrapText="1"/>
    </xf>
    <xf numFmtId="0" fontId="22" fillId="10" borderId="11" xfId="0" applyFont="1" applyFill="1" applyBorder="1" applyAlignment="1" applyProtection="1">
      <alignment horizontal="center" vertical="center"/>
      <protection locked="0"/>
    </xf>
    <xf numFmtId="49" fontId="22" fillId="12" borderId="10" xfId="0" applyNumberFormat="1" applyFont="1" applyFill="1" applyBorder="1" applyAlignment="1">
      <alignment horizontal="center" vertical="center"/>
    </xf>
    <xf numFmtId="0" fontId="22" fillId="12" borderId="8" xfId="0" applyFont="1" applyFill="1" applyBorder="1" applyAlignment="1">
      <alignment horizontal="center" vertical="center"/>
    </xf>
    <xf numFmtId="0" fontId="22" fillId="12" borderId="8" xfId="0" applyFont="1" applyFill="1" applyBorder="1" applyAlignment="1" applyProtection="1">
      <alignment horizontal="center" vertical="center"/>
      <protection locked="0"/>
    </xf>
    <xf numFmtId="0" fontId="22" fillId="12" borderId="11" xfId="0" applyFont="1" applyFill="1" applyBorder="1" applyAlignment="1">
      <alignment horizontal="center" vertical="center" wrapText="1"/>
    </xf>
    <xf numFmtId="166" fontId="22" fillId="13" borderId="10" xfId="0" applyNumberFormat="1" applyFont="1" applyFill="1" applyBorder="1" applyAlignment="1">
      <alignment horizontal="center" vertical="center"/>
    </xf>
    <xf numFmtId="1" fontId="22" fillId="13" borderId="8" xfId="0" applyNumberFormat="1" applyFont="1" applyFill="1" applyBorder="1" applyAlignment="1">
      <alignment horizontal="center" vertical="center"/>
    </xf>
    <xf numFmtId="1" fontId="22" fillId="13" borderId="9" xfId="0" applyNumberFormat="1" applyFont="1" applyFill="1" applyBorder="1" applyAlignment="1">
      <alignment horizontal="center" vertical="center"/>
    </xf>
    <xf numFmtId="168" fontId="22" fillId="13" borderId="10" xfId="0" applyNumberFormat="1" applyFont="1" applyFill="1" applyBorder="1" applyAlignment="1">
      <alignment horizontal="center" vertical="center"/>
    </xf>
    <xf numFmtId="168" fontId="22" fillId="13" borderId="8" xfId="0" applyNumberFormat="1" applyFont="1" applyFill="1" applyBorder="1" applyAlignment="1">
      <alignment horizontal="center" vertical="center"/>
    </xf>
    <xf numFmtId="1" fontId="22" fillId="13" borderId="10" xfId="0" applyNumberFormat="1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22" fillId="13" borderId="8" xfId="0" applyFont="1" applyFill="1" applyBorder="1" applyAlignment="1">
      <alignment horizontal="center"/>
    </xf>
    <xf numFmtId="168" fontId="28" fillId="14" borderId="10" xfId="0" applyNumberFormat="1" applyFont="1" applyFill="1" applyBorder="1" applyAlignment="1">
      <alignment horizontal="center"/>
    </xf>
    <xf numFmtId="0" fontId="22" fillId="14" borderId="8" xfId="0" applyFont="1" applyFill="1" applyBorder="1" applyAlignment="1">
      <alignment horizontal="center" vertical="center" wrapText="1"/>
    </xf>
    <xf numFmtId="0" fontId="22" fillId="14" borderId="8" xfId="0" applyFont="1" applyFill="1" applyBorder="1" applyAlignment="1" applyProtection="1">
      <alignment horizontal="center" vertical="center"/>
      <protection locked="0"/>
    </xf>
    <xf numFmtId="0" fontId="23" fillId="12" borderId="4" xfId="0" applyFont="1" applyFill="1" applyBorder="1" applyAlignment="1">
      <alignment horizontal="center" vertical="center" wrapText="1"/>
    </xf>
    <xf numFmtId="0" fontId="23" fillId="12" borderId="5" xfId="0" applyFont="1" applyFill="1" applyBorder="1" applyAlignment="1">
      <alignment horizontal="center" vertical="center" wrapText="1"/>
    </xf>
    <xf numFmtId="0" fontId="23" fillId="12" borderId="13" xfId="0" applyFont="1" applyFill="1" applyBorder="1" applyAlignment="1">
      <alignment horizontal="center" vertical="center" wrapText="1"/>
    </xf>
    <xf numFmtId="167" fontId="23" fillId="13" borderId="4" xfId="0" applyNumberFormat="1" applyFont="1" applyFill="1" applyBorder="1" applyAlignment="1">
      <alignment horizontal="center" vertical="center" wrapText="1"/>
    </xf>
    <xf numFmtId="167" fontId="23" fillId="13" borderId="5" xfId="0" applyNumberFormat="1" applyFont="1" applyFill="1" applyBorder="1" applyAlignment="1">
      <alignment horizontal="center" vertical="center" wrapText="1"/>
    </xf>
    <xf numFmtId="167" fontId="23" fillId="13" borderId="6" xfId="0" applyNumberFormat="1" applyFont="1" applyFill="1" applyBorder="1" applyAlignment="1">
      <alignment horizontal="center" vertical="center" wrapText="1"/>
    </xf>
    <xf numFmtId="168" fontId="28" fillId="12" borderId="10" xfId="0" applyNumberFormat="1" applyFont="1" applyFill="1" applyBorder="1" applyAlignment="1">
      <alignment horizontal="center"/>
    </xf>
    <xf numFmtId="0" fontId="22" fillId="12" borderId="8" xfId="0" applyFont="1" applyFill="1" applyBorder="1" applyAlignment="1">
      <alignment horizontal="center" vertical="center" wrapText="1"/>
    </xf>
    <xf numFmtId="0" fontId="22" fillId="13" borderId="10" xfId="0" applyFont="1" applyFill="1" applyBorder="1" applyAlignment="1" applyProtection="1">
      <alignment horizontal="center" vertical="center"/>
      <protection locked="0"/>
    </xf>
    <xf numFmtId="2" fontId="22" fillId="13" borderId="8" xfId="0" applyNumberFormat="1" applyFont="1" applyFill="1" applyBorder="1" applyAlignment="1" applyProtection="1">
      <alignment horizontal="center" vertical="center"/>
      <protection locked="0"/>
    </xf>
    <xf numFmtId="166" fontId="22" fillId="14" borderId="10" xfId="0" applyNumberFormat="1" applyFont="1" applyFill="1" applyBorder="1" applyAlignment="1" applyProtection="1">
      <alignment horizontal="center" vertical="center"/>
      <protection locked="0"/>
    </xf>
    <xf numFmtId="166" fontId="22" fillId="12" borderId="10" xfId="0" applyNumberFormat="1" applyFont="1" applyFill="1" applyBorder="1" applyAlignment="1" applyProtection="1">
      <alignment horizontal="center" vertical="center"/>
      <protection locked="0"/>
    </xf>
    <xf numFmtId="2" fontId="22" fillId="13" borderId="8" xfId="0" applyNumberFormat="1" applyFont="1" applyFill="1" applyBorder="1" applyAlignment="1">
      <alignment horizontal="center" vertical="center"/>
    </xf>
    <xf numFmtId="0" fontId="22" fillId="14" borderId="10" xfId="0" applyFont="1" applyFill="1" applyBorder="1" applyAlignment="1">
      <alignment horizontal="center"/>
    </xf>
    <xf numFmtId="0" fontId="20" fillId="14" borderId="8" xfId="0" applyFont="1" applyFill="1" applyBorder="1"/>
    <xf numFmtId="166" fontId="22" fillId="14" borderId="8" xfId="0" applyNumberFormat="1" applyFont="1" applyFill="1" applyBorder="1" applyAlignment="1">
      <alignment horizontal="center" vertical="center"/>
    </xf>
    <xf numFmtId="166" fontId="22" fillId="14" borderId="9" xfId="0" applyNumberFormat="1" applyFont="1" applyFill="1" applyBorder="1" applyAlignment="1">
      <alignment horizontal="center" vertical="center"/>
    </xf>
    <xf numFmtId="0" fontId="23" fillId="14" borderId="5" xfId="0" applyFont="1" applyFill="1" applyBorder="1" applyAlignment="1">
      <alignment horizontal="center" vertical="center"/>
    </xf>
    <xf numFmtId="0" fontId="24" fillId="10" borderId="0" xfId="0" applyFont="1" applyFill="1" applyBorder="1" applyAlignment="1" applyProtection="1">
      <alignment horizontal="center" vertical="center" wrapText="1"/>
      <protection locked="0"/>
    </xf>
    <xf numFmtId="0" fontId="23" fillId="12" borderId="21" xfId="0" applyFont="1" applyFill="1" applyBorder="1" applyAlignment="1">
      <alignment horizontal="center" vertical="center" wrapText="1"/>
    </xf>
    <xf numFmtId="0" fontId="23" fillId="12" borderId="22" xfId="0" applyFont="1" applyFill="1" applyBorder="1" applyAlignment="1">
      <alignment horizontal="center" vertical="center" wrapText="1"/>
    </xf>
    <xf numFmtId="0" fontId="23" fillId="13" borderId="21" xfId="0" applyFont="1" applyFill="1" applyBorder="1" applyAlignment="1">
      <alignment horizontal="center" vertical="center" wrapText="1"/>
    </xf>
    <xf numFmtId="0" fontId="23" fillId="13" borderId="22" xfId="0" applyFont="1" applyFill="1" applyBorder="1" applyAlignment="1">
      <alignment horizontal="center" vertical="center" wrapText="1"/>
    </xf>
    <xf numFmtId="0" fontId="23" fillId="14" borderId="21" xfId="0" applyFont="1" applyFill="1" applyBorder="1" applyAlignment="1">
      <alignment horizontal="center" vertical="center" wrapText="1"/>
    </xf>
    <xf numFmtId="0" fontId="23" fillId="14" borderId="22" xfId="0" applyFont="1" applyFill="1" applyBorder="1" applyAlignment="1">
      <alignment horizontal="center" vertical="center"/>
    </xf>
    <xf numFmtId="0" fontId="23" fillId="14" borderId="22" xfId="0" applyFont="1" applyFill="1" applyBorder="1" applyAlignment="1">
      <alignment horizontal="center" vertical="center" wrapText="1"/>
    </xf>
    <xf numFmtId="0" fontId="23" fillId="14" borderId="23" xfId="0" applyFont="1" applyFill="1" applyBorder="1" applyAlignment="1">
      <alignment horizontal="center" vertical="center" wrapText="1"/>
    </xf>
    <xf numFmtId="0" fontId="23" fillId="14" borderId="24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4" fillId="14" borderId="1" xfId="0" applyFont="1" applyFill="1" applyBorder="1"/>
    <xf numFmtId="0" fontId="3" fillId="14" borderId="1" xfId="0" applyFont="1" applyFill="1" applyBorder="1"/>
    <xf numFmtId="0" fontId="2" fillId="14" borderId="1" xfId="0" applyFont="1" applyFill="1" applyBorder="1"/>
    <xf numFmtId="0" fontId="23" fillId="12" borderId="18" xfId="17" applyFont="1" applyFill="1" applyBorder="1" applyAlignment="1" applyProtection="1">
      <alignment horizontal="center" vertical="center"/>
      <protection locked="0"/>
    </xf>
    <xf numFmtId="0" fontId="23" fillId="13" borderId="18" xfId="17" applyFont="1" applyFill="1" applyBorder="1" applyAlignment="1" applyProtection="1">
      <alignment horizontal="center" vertical="center"/>
      <protection locked="0"/>
    </xf>
    <xf numFmtId="0" fontId="23" fillId="14" borderId="17" xfId="17" applyFont="1" applyFill="1" applyBorder="1" applyAlignment="1" applyProtection="1">
      <alignment horizontal="center" vertical="center"/>
      <protection locked="0"/>
    </xf>
    <xf numFmtId="0" fontId="23" fillId="14" borderId="18" xfId="17" applyFont="1" applyFill="1" applyBorder="1" applyAlignment="1" applyProtection="1">
      <alignment horizontal="center" vertical="center"/>
      <protection locked="0"/>
    </xf>
    <xf numFmtId="0" fontId="23" fillId="14" borderId="15" xfId="17" applyFont="1" applyFill="1" applyBorder="1" applyAlignment="1" applyProtection="1">
      <alignment horizontal="center" vertical="center"/>
      <protection locked="0"/>
    </xf>
    <xf numFmtId="0" fontId="23" fillId="14" borderId="14" xfId="17" applyFont="1" applyFill="1" applyBorder="1" applyAlignment="1" applyProtection="1">
      <alignment horizontal="center" vertical="center"/>
      <protection locked="0"/>
    </xf>
    <xf numFmtId="0" fontId="23" fillId="14" borderId="16" xfId="17" applyFont="1" applyFill="1" applyBorder="1" applyAlignment="1" applyProtection="1">
      <alignment horizontal="center" vertical="center"/>
      <protection locked="0"/>
    </xf>
    <xf numFmtId="167" fontId="23" fillId="12" borderId="17" xfId="0" applyNumberFormat="1" applyFont="1" applyFill="1" applyBorder="1" applyAlignment="1" applyProtection="1">
      <alignment horizontal="center" vertical="center"/>
      <protection locked="0"/>
    </xf>
    <xf numFmtId="167" fontId="23" fillId="12" borderId="18" xfId="0" applyNumberFormat="1" applyFont="1" applyFill="1" applyBorder="1" applyAlignment="1" applyProtection="1">
      <alignment horizontal="center" vertical="center"/>
      <protection locked="0"/>
    </xf>
    <xf numFmtId="167" fontId="23" fillId="12" borderId="19" xfId="0" applyNumberFormat="1" applyFont="1" applyFill="1" applyBorder="1" applyAlignment="1" applyProtection="1">
      <alignment horizontal="center" vertical="center"/>
      <protection locked="0"/>
    </xf>
    <xf numFmtId="0" fontId="23" fillId="12" borderId="17" xfId="0" applyFont="1" applyFill="1" applyBorder="1" applyAlignment="1" applyProtection="1">
      <alignment horizontal="center" vertical="center"/>
      <protection locked="0"/>
    </xf>
    <xf numFmtId="0" fontId="23" fillId="12" borderId="18" xfId="0" applyFont="1" applyFill="1" applyBorder="1" applyAlignment="1" applyProtection="1">
      <alignment horizontal="center" vertical="center"/>
      <protection locked="0"/>
    </xf>
    <xf numFmtId="0" fontId="23" fillId="12" borderId="19" xfId="0" applyFont="1" applyFill="1" applyBorder="1" applyAlignment="1" applyProtection="1">
      <alignment horizontal="center" vertical="center"/>
      <protection locked="0"/>
    </xf>
    <xf numFmtId="0" fontId="23" fillId="13" borderId="17" xfId="0" applyFont="1" applyFill="1" applyBorder="1" applyAlignment="1" applyProtection="1">
      <alignment horizontal="center" vertical="center"/>
      <protection locked="0"/>
    </xf>
    <xf numFmtId="0" fontId="23" fillId="13" borderId="18" xfId="0" applyFont="1" applyFill="1" applyBorder="1" applyAlignment="1" applyProtection="1">
      <alignment horizontal="center" vertical="center"/>
      <protection locked="0"/>
    </xf>
    <xf numFmtId="0" fontId="23" fillId="13" borderId="19" xfId="0" applyFont="1" applyFill="1" applyBorder="1" applyAlignment="1" applyProtection="1">
      <alignment horizontal="center" vertical="center"/>
      <protection locked="0"/>
    </xf>
    <xf numFmtId="0" fontId="23" fillId="12" borderId="17" xfId="17" applyFont="1" applyFill="1" applyBorder="1" applyAlignment="1" applyProtection="1">
      <alignment horizontal="center" vertical="center"/>
      <protection locked="0"/>
    </xf>
    <xf numFmtId="0" fontId="23" fillId="12" borderId="18" xfId="17" applyFont="1" applyFill="1" applyBorder="1" applyAlignment="1" applyProtection="1">
      <alignment horizontal="center" vertical="center"/>
      <protection locked="0"/>
    </xf>
    <xf numFmtId="0" fontId="23" fillId="13" borderId="15" xfId="17" applyFont="1" applyFill="1" applyBorder="1" applyAlignment="1" applyProtection="1">
      <alignment horizontal="center" vertical="center"/>
      <protection locked="0"/>
    </xf>
    <xf numFmtId="0" fontId="23" fillId="13" borderId="14" xfId="17" applyFont="1" applyFill="1" applyBorder="1" applyAlignment="1" applyProtection="1">
      <alignment horizontal="center" vertical="center"/>
      <protection locked="0"/>
    </xf>
    <xf numFmtId="0" fontId="23" fillId="13" borderId="16" xfId="17" applyFont="1" applyFill="1" applyBorder="1" applyAlignment="1" applyProtection="1">
      <alignment horizontal="center" vertical="center"/>
      <protection locked="0"/>
    </xf>
    <xf numFmtId="0" fontId="23" fillId="13" borderId="17" xfId="17" applyFont="1" applyFill="1" applyBorder="1" applyAlignment="1" applyProtection="1">
      <alignment horizontal="center" vertical="center"/>
      <protection locked="0"/>
    </xf>
    <xf numFmtId="0" fontId="23" fillId="13" borderId="18" xfId="17" applyFont="1" applyFill="1" applyBorder="1" applyAlignment="1" applyProtection="1">
      <alignment horizontal="center" vertical="center"/>
      <protection locked="0"/>
    </xf>
    <xf numFmtId="0" fontId="23" fillId="12" borderId="15" xfId="17" applyFont="1" applyFill="1" applyBorder="1" applyAlignment="1" applyProtection="1">
      <alignment horizontal="center" vertical="center"/>
      <protection locked="0"/>
    </xf>
    <xf numFmtId="0" fontId="23" fillId="12" borderId="14" xfId="17" applyFont="1" applyFill="1" applyBorder="1" applyAlignment="1" applyProtection="1">
      <alignment horizontal="center" vertical="center"/>
      <protection locked="0"/>
    </xf>
    <xf numFmtId="0" fontId="23" fillId="14" borderId="17" xfId="0" applyFont="1" applyFill="1" applyBorder="1" applyAlignment="1">
      <alignment horizontal="center"/>
    </xf>
    <xf numFmtId="0" fontId="23" fillId="14" borderId="18" xfId="0" applyFont="1" applyFill="1" applyBorder="1" applyAlignment="1">
      <alignment horizontal="center"/>
    </xf>
    <xf numFmtId="0" fontId="23" fillId="14" borderId="19" xfId="0" applyFont="1" applyFill="1" applyBorder="1" applyAlignment="1">
      <alignment horizontal="center"/>
    </xf>
    <xf numFmtId="0" fontId="15" fillId="14" borderId="2" xfId="0" applyFont="1" applyFill="1" applyBorder="1" applyAlignment="1">
      <alignment horizontal="center"/>
    </xf>
    <xf numFmtId="0" fontId="32" fillId="14" borderId="2" xfId="0" applyFont="1" applyFill="1" applyBorder="1" applyAlignment="1">
      <alignment horizontal="center"/>
    </xf>
    <xf numFmtId="0" fontId="33" fillId="14" borderId="2" xfId="0" applyFont="1" applyFill="1" applyBorder="1" applyAlignment="1">
      <alignment horizontal="center"/>
    </xf>
  </cellXfs>
  <cellStyles count="33">
    <cellStyle name="40% - Accent1 2" xfId="1" xr:uid="{00000000-0005-0000-0000-000000000000}"/>
    <cellStyle name="40% - Accent2 2" xfId="2" xr:uid="{00000000-0005-0000-0000-000001000000}"/>
    <cellStyle name="40% - Accent3 2" xfId="3" xr:uid="{00000000-0005-0000-0000-000002000000}"/>
    <cellStyle name="40% - Accent4 2" xfId="4" xr:uid="{00000000-0005-0000-0000-000003000000}"/>
    <cellStyle name="40% - Accent5 2" xfId="5" xr:uid="{00000000-0005-0000-0000-000004000000}"/>
    <cellStyle name="40% - Accent6 2" xfId="6" xr:uid="{00000000-0005-0000-0000-000005000000}"/>
    <cellStyle name="Comma 2" xfId="7" xr:uid="{00000000-0005-0000-0000-000006000000}"/>
    <cellStyle name="Comma 2 2" xfId="8" xr:uid="{00000000-0005-0000-0000-000007000000}"/>
    <cellStyle name="Comma 2 2 2" xfId="9" xr:uid="{00000000-0005-0000-0000-000008000000}"/>
    <cellStyle name="Comma 2 2 2 2" xfId="27" xr:uid="{022E7E71-7114-45B3-A70C-5AF8735323EF}"/>
    <cellStyle name="Comma 2 2 3" xfId="26" xr:uid="{C204E1ED-1108-4D91-8785-66F0BDB82A56}"/>
    <cellStyle name="Comma 3" xfId="10" xr:uid="{00000000-0005-0000-0000-000009000000}"/>
    <cellStyle name="Comma 3 2" xfId="11" xr:uid="{00000000-0005-0000-0000-00000A000000}"/>
    <cellStyle name="Comma 3 2 2" xfId="12" xr:uid="{00000000-0005-0000-0000-00000B000000}"/>
    <cellStyle name="Comma 3 2 2 2" xfId="29" xr:uid="{AC93FC4D-7C53-4F64-8818-9D785844BC47}"/>
    <cellStyle name="Comma 3 2 3" xfId="28" xr:uid="{3C7BDFBB-BF3A-43CC-A8AF-B48D47DB74FD}"/>
    <cellStyle name="Comma 4" xfId="13" xr:uid="{00000000-0005-0000-0000-00000C000000}"/>
    <cellStyle name="Euro" xfId="14" xr:uid="{00000000-0005-0000-0000-00000D000000}"/>
    <cellStyle name="Good 2" xfId="15" xr:uid="{00000000-0005-0000-0000-00000E000000}"/>
    <cellStyle name="Input 2" xfId="16" xr:uid="{00000000-0005-0000-0000-00000F000000}"/>
    <cellStyle name="Normal" xfId="0" builtinId="0"/>
    <cellStyle name="Normal 2" xfId="17" xr:uid="{00000000-0005-0000-0000-000011000000}"/>
    <cellStyle name="Normal 2 2" xfId="18" xr:uid="{00000000-0005-0000-0000-000012000000}"/>
    <cellStyle name="Normal 3" xfId="19" xr:uid="{00000000-0005-0000-0000-000013000000}"/>
    <cellStyle name="Normal 4" xfId="20" xr:uid="{00000000-0005-0000-0000-000014000000}"/>
    <cellStyle name="Normal 4 2" xfId="30" xr:uid="{E46CB7FF-01E6-47DA-994C-8BD9C0748E44}"/>
    <cellStyle name="Normal 5" xfId="24" xr:uid="{00000000-0005-0000-0000-000015000000}"/>
    <cellStyle name="Normal 5 2" xfId="31" xr:uid="{3A89221D-BF83-4118-B0FE-D94AB8B8969E}"/>
    <cellStyle name="Normal 6" xfId="25" xr:uid="{9E502DB0-575F-4AE5-986C-83BE0CB656EE}"/>
    <cellStyle name="Normal 6 2" xfId="32" xr:uid="{D893B4C5-7C42-47D9-A003-D0235B985F3E}"/>
    <cellStyle name="Percent 2" xfId="21" xr:uid="{00000000-0005-0000-0000-000016000000}"/>
    <cellStyle name="Percent 3" xfId="22" xr:uid="{00000000-0005-0000-0000-000017000000}"/>
    <cellStyle name="Percent 4" xfId="23" xr:uid="{00000000-0005-0000-0000-000018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" dT="2024-05-08T17:06:06.98" personId="{00000000-0000-0000-0000-000000000000}" id="{D5351F32-5016-4DEE-8CE1-E6AC25EF65B1}">
    <text>Scan would be done at POC</text>
  </threadedComment>
  <threadedComment ref="R2" dT="2024-05-08T17:08:54.75" personId="{00000000-0000-0000-0000-000000000000}" id="{7A8EAD56-918F-47D6-8833-5C3D70C8BE89}">
    <text>Scan would be done at POC</text>
  </threadedComment>
  <threadedComment ref="S2" dT="2024-05-08T17:09:10.96" personId="{00000000-0000-0000-0000-000000000000}" id="{32AF1C50-BBFB-49A5-8180-D36843102ED1}">
    <text>Scan would be done at POC</text>
  </threadedComment>
  <threadedComment ref="V2" dT="2024-05-08T17:53:02.19" personId="{00000000-0000-0000-0000-000000000000}" id="{7F566ADF-0207-4CE1-967E-18DBE1F95551}">
    <text>Check it is wash or not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4-05-08T17:53:02.19" personId="{00000000-0000-0000-0000-000000000000}" id="{F178B021-D828-4595-BF3D-459F147354AC}">
    <text>Check it is wash or not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2" dT="2024-05-09T10:12:38.71" personId="{00000000-0000-0000-0000-000000000000}" id="{5E1C4B78-3017-4639-A8DA-DD968B3643BF}">
    <text>In POC, scan needs to be done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6"/>
  <sheetViews>
    <sheetView showGridLines="0" zoomScale="53" zoomScaleNormal="53" workbookViewId="0">
      <pane xSplit="1" ySplit="2" topLeftCell="B3" activePane="bottomRight" state="frozen"/>
      <selection pane="topRight" activeCell="F1" sqref="F1"/>
      <selection pane="bottomLeft" activeCell="A12" sqref="A12"/>
      <selection pane="bottomRight" activeCell="O15" sqref="O15"/>
    </sheetView>
  </sheetViews>
  <sheetFormatPr defaultColWidth="9" defaultRowHeight="15.5" x14ac:dyDescent="0.35"/>
  <cols>
    <col min="1" max="1" width="20.54296875" style="12" customWidth="1"/>
    <col min="2" max="2" width="9.90625" style="3" customWidth="1"/>
    <col min="3" max="3" width="9" style="3"/>
    <col min="4" max="4" width="11.453125" style="3" customWidth="1"/>
    <col min="5" max="9" width="9" style="3"/>
    <col min="10" max="12" width="8.7265625" style="3"/>
    <col min="13" max="13" width="14.81640625" style="3" customWidth="1"/>
    <col min="14" max="19" width="8.7265625" style="3"/>
    <col min="20" max="37" width="20.54296875" style="13" customWidth="1"/>
    <col min="38" max="16384" width="9" style="6"/>
  </cols>
  <sheetData>
    <row r="1" spans="1:34" s="144" customFormat="1" ht="18" x14ac:dyDescent="0.4">
      <c r="A1" s="164"/>
      <c r="B1" s="230" t="s">
        <v>131</v>
      </c>
      <c r="C1" s="231"/>
      <c r="D1" s="231"/>
      <c r="E1" s="231"/>
      <c r="F1" s="231"/>
      <c r="G1" s="231"/>
      <c r="H1" s="231"/>
      <c r="I1" s="231"/>
      <c r="J1" s="231"/>
      <c r="K1" s="231"/>
      <c r="L1" s="232"/>
      <c r="M1" s="233" t="s">
        <v>132</v>
      </c>
      <c r="N1" s="234"/>
      <c r="O1" s="234"/>
      <c r="P1" s="234"/>
      <c r="Q1" s="234"/>
      <c r="R1" s="234"/>
      <c r="S1" s="235"/>
      <c r="T1" s="236" t="s">
        <v>136</v>
      </c>
      <c r="U1" s="237"/>
      <c r="V1" s="237"/>
      <c r="W1" s="237"/>
      <c r="X1" s="237"/>
      <c r="Y1" s="237"/>
      <c r="Z1" s="237"/>
      <c r="AA1" s="237"/>
      <c r="AB1" s="237"/>
      <c r="AC1" s="238"/>
      <c r="AD1" s="225" t="s">
        <v>133</v>
      </c>
      <c r="AE1" s="226"/>
      <c r="AF1" s="227" t="s">
        <v>134</v>
      </c>
      <c r="AG1" s="228"/>
      <c r="AH1" s="229"/>
    </row>
    <row r="2" spans="1:34" s="24" customFormat="1" ht="87.5" thickBot="1" x14ac:dyDescent="0.4">
      <c r="A2" s="165" t="s">
        <v>10</v>
      </c>
      <c r="B2" s="166" t="s">
        <v>115</v>
      </c>
      <c r="C2" s="167" t="s">
        <v>114</v>
      </c>
      <c r="D2" s="167" t="s">
        <v>116</v>
      </c>
      <c r="E2" s="167" t="s">
        <v>8</v>
      </c>
      <c r="F2" s="167" t="s">
        <v>117</v>
      </c>
      <c r="G2" s="167" t="s">
        <v>118</v>
      </c>
      <c r="H2" s="167" t="s">
        <v>119</v>
      </c>
      <c r="I2" s="167" t="s">
        <v>7</v>
      </c>
      <c r="J2" s="167" t="s">
        <v>9</v>
      </c>
      <c r="K2" s="167" t="s">
        <v>120</v>
      </c>
      <c r="L2" s="168" t="s">
        <v>121</v>
      </c>
      <c r="M2" s="166" t="s">
        <v>3</v>
      </c>
      <c r="N2" s="167" t="s">
        <v>0</v>
      </c>
      <c r="O2" s="167" t="s">
        <v>1</v>
      </c>
      <c r="P2" s="167" t="s">
        <v>2</v>
      </c>
      <c r="Q2" s="167" t="s">
        <v>4</v>
      </c>
      <c r="R2" s="167" t="s">
        <v>5</v>
      </c>
      <c r="S2" s="168" t="s">
        <v>6</v>
      </c>
      <c r="T2" s="169" t="s">
        <v>15</v>
      </c>
      <c r="U2" s="170" t="s">
        <v>18</v>
      </c>
      <c r="V2" s="170" t="s">
        <v>19</v>
      </c>
      <c r="W2" s="170" t="s">
        <v>21</v>
      </c>
      <c r="X2" s="170" t="s">
        <v>28</v>
      </c>
      <c r="Y2" s="170" t="s">
        <v>20</v>
      </c>
      <c r="Z2" s="170" t="s">
        <v>16</v>
      </c>
      <c r="AA2" s="170" t="s">
        <v>22</v>
      </c>
      <c r="AB2" s="170" t="s">
        <v>17</v>
      </c>
      <c r="AC2" s="171" t="s">
        <v>23</v>
      </c>
      <c r="AD2" s="172" t="s">
        <v>24</v>
      </c>
      <c r="AE2" s="173" t="s">
        <v>25</v>
      </c>
      <c r="AF2" s="172" t="s">
        <v>26</v>
      </c>
      <c r="AG2" s="173" t="s">
        <v>27</v>
      </c>
      <c r="AH2" s="174" t="s">
        <v>28</v>
      </c>
    </row>
    <row r="3" spans="1:34" s="4" customFormat="1" ht="17.5" x14ac:dyDescent="0.35">
      <c r="A3" s="146">
        <v>830</v>
      </c>
      <c r="B3" s="147">
        <v>74.023745000000005</v>
      </c>
      <c r="C3" s="148"/>
      <c r="D3" s="149">
        <v>341.47899727849602</v>
      </c>
      <c r="E3" s="149"/>
      <c r="F3" s="150">
        <v>17</v>
      </c>
      <c r="G3" s="150">
        <v>76</v>
      </c>
      <c r="H3" s="150">
        <v>7</v>
      </c>
      <c r="I3" s="149">
        <v>4.67</v>
      </c>
      <c r="J3" s="149">
        <v>69.22</v>
      </c>
      <c r="K3" s="148"/>
      <c r="L3" s="151"/>
      <c r="M3" s="152">
        <v>1</v>
      </c>
      <c r="N3" s="153">
        <v>7.36</v>
      </c>
      <c r="O3" s="153">
        <v>302</v>
      </c>
      <c r="P3" s="153">
        <v>225</v>
      </c>
      <c r="Q3" s="153">
        <v>40</v>
      </c>
      <c r="R3" s="153">
        <v>200</v>
      </c>
      <c r="S3" s="154">
        <v>0</v>
      </c>
      <c r="T3" s="155">
        <v>8000</v>
      </c>
      <c r="U3" s="156">
        <v>78.3</v>
      </c>
      <c r="V3" s="156">
        <v>85.4</v>
      </c>
      <c r="W3" s="157">
        <v>275</v>
      </c>
      <c r="X3" s="156">
        <v>75.7</v>
      </c>
      <c r="Y3" s="158">
        <v>0.33</v>
      </c>
      <c r="Z3" s="156">
        <v>65.400000000000006</v>
      </c>
      <c r="AA3" s="156">
        <v>0.4</v>
      </c>
      <c r="AB3" s="156">
        <v>25</v>
      </c>
      <c r="AC3" s="159">
        <v>140</v>
      </c>
      <c r="AD3" s="160">
        <v>255</v>
      </c>
      <c r="AE3" s="161">
        <v>1.075</v>
      </c>
      <c r="AF3" s="162">
        <v>1.006</v>
      </c>
      <c r="AG3" s="161">
        <v>1</v>
      </c>
      <c r="AH3" s="163">
        <v>75.7</v>
      </c>
    </row>
    <row r="4" spans="1:34" s="4" customFormat="1" ht="17.5" x14ac:dyDescent="0.35">
      <c r="A4" s="141">
        <v>831</v>
      </c>
      <c r="B4" s="27">
        <v>74.036377999999999</v>
      </c>
      <c r="C4" s="28"/>
      <c r="D4" s="29">
        <v>341.53727458090242</v>
      </c>
      <c r="E4" s="29"/>
      <c r="F4" s="30">
        <v>17</v>
      </c>
      <c r="G4" s="30">
        <v>75</v>
      </c>
      <c r="H4" s="30">
        <v>8</v>
      </c>
      <c r="I4" s="29">
        <v>4.58</v>
      </c>
      <c r="J4" s="29">
        <v>70.900000000000006</v>
      </c>
      <c r="K4" s="28"/>
      <c r="L4" s="31"/>
      <c r="M4" s="152">
        <v>1</v>
      </c>
      <c r="N4" s="153">
        <v>7.36</v>
      </c>
      <c r="O4" s="153">
        <v>302</v>
      </c>
      <c r="P4" s="153">
        <v>225</v>
      </c>
      <c r="Q4" s="153">
        <v>40</v>
      </c>
      <c r="R4" s="153">
        <v>200</v>
      </c>
      <c r="S4" s="154">
        <v>0</v>
      </c>
      <c r="T4" s="72">
        <v>8000</v>
      </c>
      <c r="U4" s="73">
        <v>78.5</v>
      </c>
      <c r="V4" s="73">
        <v>85.5</v>
      </c>
      <c r="W4" s="74">
        <v>280</v>
      </c>
      <c r="X4" s="73">
        <v>75.400000000000006</v>
      </c>
      <c r="Y4" s="75">
        <v>0.33</v>
      </c>
      <c r="Z4" s="73">
        <v>65.8</v>
      </c>
      <c r="AA4" s="73">
        <v>0.41</v>
      </c>
      <c r="AB4" s="73">
        <v>25</v>
      </c>
      <c r="AC4" s="76">
        <v>140</v>
      </c>
      <c r="AD4" s="112">
        <v>268</v>
      </c>
      <c r="AE4" s="113">
        <v>1.0720000000000001</v>
      </c>
      <c r="AF4" s="120">
        <v>1.0049999999999999</v>
      </c>
      <c r="AG4" s="113">
        <v>1</v>
      </c>
      <c r="AH4" s="121">
        <v>75.400000000000006</v>
      </c>
    </row>
    <row r="5" spans="1:34" s="4" customFormat="1" ht="17.5" x14ac:dyDescent="0.35">
      <c r="A5" s="141">
        <v>832</v>
      </c>
      <c r="B5" s="27">
        <v>74.05901999999999</v>
      </c>
      <c r="C5" s="28"/>
      <c r="D5" s="29">
        <v>341.64172440921595</v>
      </c>
      <c r="E5" s="29"/>
      <c r="F5" s="30">
        <v>17</v>
      </c>
      <c r="G5" s="30">
        <v>75</v>
      </c>
      <c r="H5" s="30">
        <v>8</v>
      </c>
      <c r="I5" s="29">
        <v>4.5999999999999996</v>
      </c>
      <c r="J5" s="29">
        <v>68.88</v>
      </c>
      <c r="K5" s="28"/>
      <c r="L5" s="31"/>
      <c r="M5" s="32">
        <v>1</v>
      </c>
      <c r="N5" s="33">
        <v>7.32</v>
      </c>
      <c r="O5" s="30">
        <v>300</v>
      </c>
      <c r="P5" s="30">
        <v>250</v>
      </c>
      <c r="Q5" s="30">
        <v>36</v>
      </c>
      <c r="R5" s="30">
        <v>200</v>
      </c>
      <c r="S5" s="36">
        <v>0</v>
      </c>
      <c r="T5" s="72">
        <v>8000</v>
      </c>
      <c r="U5" s="73">
        <v>78.2</v>
      </c>
      <c r="V5" s="73">
        <v>85.3</v>
      </c>
      <c r="W5" s="73">
        <v>295</v>
      </c>
      <c r="X5" s="73">
        <v>76.599999999999994</v>
      </c>
      <c r="Y5" s="75">
        <v>0.33</v>
      </c>
      <c r="Z5" s="73">
        <v>65.2</v>
      </c>
      <c r="AA5" s="73">
        <v>0.38</v>
      </c>
      <c r="AB5" s="73">
        <v>25</v>
      </c>
      <c r="AC5" s="76">
        <v>140</v>
      </c>
      <c r="AD5" s="112">
        <v>265</v>
      </c>
      <c r="AE5" s="113">
        <v>1.0720000000000001</v>
      </c>
      <c r="AF5" s="120">
        <v>1.0049999999999999</v>
      </c>
      <c r="AG5" s="113">
        <v>1</v>
      </c>
      <c r="AH5" s="121">
        <v>76.599999999999994</v>
      </c>
    </row>
    <row r="6" spans="1:34" s="4" customFormat="1" ht="17.5" x14ac:dyDescent="0.35">
      <c r="A6" s="141">
        <v>833</v>
      </c>
      <c r="B6" s="27">
        <v>74.012441999999993</v>
      </c>
      <c r="C6" s="28"/>
      <c r="D6" s="29">
        <v>341.42685540015356</v>
      </c>
      <c r="E6" s="29"/>
      <c r="F6" s="30">
        <v>18</v>
      </c>
      <c r="G6" s="30">
        <v>75</v>
      </c>
      <c r="H6" s="30">
        <v>7</v>
      </c>
      <c r="I6" s="29">
        <v>4.66</v>
      </c>
      <c r="J6" s="29">
        <v>69.989999999999995</v>
      </c>
      <c r="K6" s="28"/>
      <c r="L6" s="31"/>
      <c r="M6" s="32">
        <v>1</v>
      </c>
      <c r="N6" s="33">
        <v>7.32</v>
      </c>
      <c r="O6" s="30">
        <v>300</v>
      </c>
      <c r="P6" s="30">
        <v>250</v>
      </c>
      <c r="Q6" s="30">
        <v>36</v>
      </c>
      <c r="R6" s="30">
        <v>200</v>
      </c>
      <c r="S6" s="36">
        <v>0</v>
      </c>
      <c r="T6" s="72">
        <v>8000</v>
      </c>
      <c r="U6" s="73">
        <v>78.400000000000006</v>
      </c>
      <c r="V6" s="73">
        <v>85.3</v>
      </c>
      <c r="W6" s="74">
        <v>295</v>
      </c>
      <c r="X6" s="73">
        <v>76.599999999999994</v>
      </c>
      <c r="Y6" s="75">
        <v>0.33</v>
      </c>
      <c r="Z6" s="73">
        <v>66.099999999999994</v>
      </c>
      <c r="AA6" s="73">
        <v>0.39</v>
      </c>
      <c r="AB6" s="73">
        <v>25</v>
      </c>
      <c r="AC6" s="76">
        <v>140</v>
      </c>
      <c r="AD6" s="112">
        <v>270</v>
      </c>
      <c r="AE6" s="113">
        <v>1.07</v>
      </c>
      <c r="AF6" s="120">
        <v>1.0049999999999999</v>
      </c>
      <c r="AG6" s="113">
        <v>1</v>
      </c>
      <c r="AH6" s="121">
        <v>76.599999999999994</v>
      </c>
    </row>
    <row r="7" spans="1:34" s="4" customFormat="1" ht="17.5" x14ac:dyDescent="0.35">
      <c r="A7" s="141">
        <v>834</v>
      </c>
      <c r="B7" s="27">
        <v>74.515775999999988</v>
      </c>
      <c r="C7" s="28"/>
      <c r="D7" s="29">
        <v>343.74878587822081</v>
      </c>
      <c r="E7" s="37"/>
      <c r="F7" s="30">
        <v>17</v>
      </c>
      <c r="G7" s="30">
        <v>76</v>
      </c>
      <c r="H7" s="30">
        <v>7</v>
      </c>
      <c r="I7" s="29">
        <v>4.76</v>
      </c>
      <c r="J7" s="29">
        <v>70.099999999999994</v>
      </c>
      <c r="K7" s="28"/>
      <c r="L7" s="31"/>
      <c r="M7" s="32">
        <v>1</v>
      </c>
      <c r="N7" s="33">
        <v>7.34</v>
      </c>
      <c r="O7" s="33">
        <v>291</v>
      </c>
      <c r="P7" s="33">
        <v>250</v>
      </c>
      <c r="Q7" s="33">
        <v>32</v>
      </c>
      <c r="R7" s="33">
        <v>145</v>
      </c>
      <c r="S7" s="34">
        <v>0</v>
      </c>
      <c r="T7" s="72">
        <v>8000</v>
      </c>
      <c r="U7" s="73">
        <v>78.5</v>
      </c>
      <c r="V7" s="73">
        <v>85.4</v>
      </c>
      <c r="W7" s="74">
        <v>285</v>
      </c>
      <c r="X7" s="73">
        <v>76.5</v>
      </c>
      <c r="Y7" s="75">
        <v>0.33</v>
      </c>
      <c r="Z7" s="73">
        <v>65.5</v>
      </c>
      <c r="AA7" s="73">
        <v>0.4</v>
      </c>
      <c r="AB7" s="73">
        <v>25</v>
      </c>
      <c r="AC7" s="76">
        <v>140</v>
      </c>
      <c r="AD7" s="112">
        <v>240</v>
      </c>
      <c r="AE7" s="113">
        <v>1.075</v>
      </c>
      <c r="AF7" s="120">
        <v>1.0049999999999999</v>
      </c>
      <c r="AG7" s="113">
        <v>1</v>
      </c>
      <c r="AH7" s="121">
        <v>76.5</v>
      </c>
    </row>
    <row r="8" spans="1:34" s="4" customFormat="1" ht="17.5" x14ac:dyDescent="0.35">
      <c r="A8" s="141">
        <v>835</v>
      </c>
      <c r="B8" s="27">
        <v>74.579340000000002</v>
      </c>
      <c r="C8" s="28"/>
      <c r="D8" s="29">
        <v>344.04201301747207</v>
      </c>
      <c r="E8" s="29"/>
      <c r="F8" s="30">
        <v>18</v>
      </c>
      <c r="G8" s="30">
        <v>76</v>
      </c>
      <c r="H8" s="30">
        <v>6</v>
      </c>
      <c r="I8" s="29">
        <v>4.63</v>
      </c>
      <c r="J8" s="29">
        <v>70.209999999999994</v>
      </c>
      <c r="K8" s="28"/>
      <c r="L8" s="31"/>
      <c r="M8" s="32">
        <v>1</v>
      </c>
      <c r="N8" s="33">
        <v>7.34</v>
      </c>
      <c r="O8" s="33">
        <v>291</v>
      </c>
      <c r="P8" s="33">
        <v>250</v>
      </c>
      <c r="Q8" s="33">
        <v>32</v>
      </c>
      <c r="R8" s="33">
        <v>145</v>
      </c>
      <c r="S8" s="154">
        <v>0</v>
      </c>
      <c r="T8" s="72">
        <v>8000</v>
      </c>
      <c r="U8" s="73">
        <v>78.400000000000006</v>
      </c>
      <c r="V8" s="73">
        <v>85.3</v>
      </c>
      <c r="W8" s="74">
        <v>290</v>
      </c>
      <c r="X8" s="73">
        <v>76.400000000000006</v>
      </c>
      <c r="Y8" s="75">
        <v>0.33</v>
      </c>
      <c r="Z8" s="73">
        <v>65</v>
      </c>
      <c r="AA8" s="73">
        <v>0.41</v>
      </c>
      <c r="AB8" s="73">
        <v>25</v>
      </c>
      <c r="AC8" s="76">
        <v>140</v>
      </c>
      <c r="AD8" s="112">
        <v>265</v>
      </c>
      <c r="AE8" s="113">
        <v>1.071</v>
      </c>
      <c r="AF8" s="120">
        <v>1.0049999999999999</v>
      </c>
      <c r="AG8" s="113">
        <v>1</v>
      </c>
      <c r="AH8" s="121">
        <v>76.400000000000006</v>
      </c>
    </row>
    <row r="9" spans="1:34" s="4" customFormat="1" ht="17.5" x14ac:dyDescent="0.35">
      <c r="A9" s="141">
        <v>836</v>
      </c>
      <c r="B9" s="27">
        <v>74.049858999999998</v>
      </c>
      <c r="C9" s="28"/>
      <c r="D9" s="29">
        <v>341.59946379278728</v>
      </c>
      <c r="E9" s="29"/>
      <c r="F9" s="30">
        <v>18</v>
      </c>
      <c r="G9" s="30">
        <v>75</v>
      </c>
      <c r="H9" s="30">
        <v>7</v>
      </c>
      <c r="I9" s="29">
        <v>4.71</v>
      </c>
      <c r="J9" s="29">
        <v>70.3</v>
      </c>
      <c r="K9" s="28"/>
      <c r="L9" s="31"/>
      <c r="M9" s="39">
        <v>1</v>
      </c>
      <c r="N9" s="33">
        <v>7.38</v>
      </c>
      <c r="O9" s="33">
        <v>288</v>
      </c>
      <c r="P9" s="33">
        <v>250</v>
      </c>
      <c r="Q9" s="33">
        <v>32</v>
      </c>
      <c r="R9" s="33">
        <v>175</v>
      </c>
      <c r="S9" s="154">
        <v>0</v>
      </c>
      <c r="T9" s="72">
        <v>8000</v>
      </c>
      <c r="U9" s="73">
        <v>78.400000000000006</v>
      </c>
      <c r="V9" s="73">
        <v>85.4</v>
      </c>
      <c r="W9" s="74">
        <v>275</v>
      </c>
      <c r="X9" s="73">
        <v>76.5</v>
      </c>
      <c r="Y9" s="75">
        <v>0.33</v>
      </c>
      <c r="Z9" s="73">
        <v>65.2</v>
      </c>
      <c r="AA9" s="73">
        <v>0.38</v>
      </c>
      <c r="AB9" s="73">
        <v>25</v>
      </c>
      <c r="AC9" s="76">
        <v>140</v>
      </c>
      <c r="AD9" s="112">
        <v>270</v>
      </c>
      <c r="AE9" s="113">
        <v>1.069</v>
      </c>
      <c r="AF9" s="120">
        <v>1.0049999999999999</v>
      </c>
      <c r="AG9" s="113">
        <v>1</v>
      </c>
      <c r="AH9" s="121">
        <v>76.5</v>
      </c>
    </row>
    <row r="10" spans="1:34" s="4" customFormat="1" ht="17.5" x14ac:dyDescent="0.35">
      <c r="A10" s="141">
        <v>837</v>
      </c>
      <c r="B10" s="27">
        <v>74.061876999999996</v>
      </c>
      <c r="C10" s="28"/>
      <c r="D10" s="29">
        <v>341.65490403820166</v>
      </c>
      <c r="E10" s="29"/>
      <c r="F10" s="30">
        <v>17</v>
      </c>
      <c r="G10" s="30">
        <v>76</v>
      </c>
      <c r="H10" s="30">
        <v>7</v>
      </c>
      <c r="I10" s="29">
        <v>4.67</v>
      </c>
      <c r="J10" s="29">
        <v>69.989999999999995</v>
      </c>
      <c r="K10" s="28"/>
      <c r="L10" s="31"/>
      <c r="M10" s="39">
        <v>1</v>
      </c>
      <c r="N10" s="33">
        <v>7.38</v>
      </c>
      <c r="O10" s="33">
        <v>288</v>
      </c>
      <c r="P10" s="33">
        <v>250</v>
      </c>
      <c r="Q10" s="33">
        <v>32</v>
      </c>
      <c r="R10" s="33">
        <v>175</v>
      </c>
      <c r="S10" s="36">
        <v>0</v>
      </c>
      <c r="T10" s="72">
        <v>8000</v>
      </c>
      <c r="U10" s="73">
        <v>78.599999999999994</v>
      </c>
      <c r="V10" s="73">
        <v>85.6</v>
      </c>
      <c r="W10" s="73">
        <v>300</v>
      </c>
      <c r="X10" s="73">
        <v>76.400000000000006</v>
      </c>
      <c r="Y10" s="75">
        <v>0.33</v>
      </c>
      <c r="Z10" s="73">
        <v>65.099999999999994</v>
      </c>
      <c r="AA10" s="73">
        <v>0.4</v>
      </c>
      <c r="AB10" s="73">
        <v>25</v>
      </c>
      <c r="AC10" s="76">
        <v>140</v>
      </c>
      <c r="AD10" s="112">
        <v>240</v>
      </c>
      <c r="AE10" s="113">
        <v>1.0720000000000001</v>
      </c>
      <c r="AF10" s="120">
        <v>1.0049999999999999</v>
      </c>
      <c r="AG10" s="113">
        <v>1</v>
      </c>
      <c r="AH10" s="121">
        <v>76.400000000000006</v>
      </c>
    </row>
    <row r="11" spans="1:34" s="4" customFormat="1" ht="17.5" x14ac:dyDescent="0.35">
      <c r="A11" s="141">
        <v>838</v>
      </c>
      <c r="B11" s="27">
        <v>74.39</v>
      </c>
      <c r="C11" s="28"/>
      <c r="D11" s="29">
        <v>343.16856851200004</v>
      </c>
      <c r="E11" s="29"/>
      <c r="F11" s="30">
        <v>18</v>
      </c>
      <c r="G11" s="30">
        <v>75</v>
      </c>
      <c r="H11" s="30">
        <v>7</v>
      </c>
      <c r="I11" s="29">
        <v>4.53</v>
      </c>
      <c r="J11" s="29">
        <v>69.28</v>
      </c>
      <c r="K11" s="28"/>
      <c r="L11" s="31"/>
      <c r="M11" s="32">
        <v>1</v>
      </c>
      <c r="N11" s="33">
        <v>7.32</v>
      </c>
      <c r="O11" s="33">
        <v>280</v>
      </c>
      <c r="P11" s="33">
        <v>250</v>
      </c>
      <c r="Q11" s="33">
        <v>36</v>
      </c>
      <c r="R11" s="33">
        <v>200</v>
      </c>
      <c r="S11" s="36">
        <v>0</v>
      </c>
      <c r="T11" s="72">
        <v>8000</v>
      </c>
      <c r="U11" s="73">
        <v>78.5</v>
      </c>
      <c r="V11" s="73">
        <v>85.4</v>
      </c>
      <c r="W11" s="74">
        <v>300</v>
      </c>
      <c r="X11" s="73">
        <v>76.400000000000006</v>
      </c>
      <c r="Y11" s="75">
        <v>0.33</v>
      </c>
      <c r="Z11" s="73">
        <v>65.099999999999994</v>
      </c>
      <c r="AA11" s="73">
        <v>0.43</v>
      </c>
      <c r="AB11" s="73">
        <v>25</v>
      </c>
      <c r="AC11" s="76">
        <v>140</v>
      </c>
      <c r="AD11" s="112">
        <v>233</v>
      </c>
      <c r="AE11" s="113">
        <v>1.07</v>
      </c>
      <c r="AF11" s="120">
        <v>1.006</v>
      </c>
      <c r="AG11" s="113">
        <v>1</v>
      </c>
      <c r="AH11" s="121">
        <v>76.400000000000006</v>
      </c>
    </row>
    <row r="12" spans="1:34" s="4" customFormat="1" ht="17.5" x14ac:dyDescent="0.35">
      <c r="A12" s="141">
        <v>839</v>
      </c>
      <c r="B12" s="27">
        <v>74.334345999999996</v>
      </c>
      <c r="C12" s="28"/>
      <c r="D12" s="29">
        <v>342.9118310000768</v>
      </c>
      <c r="E12" s="29"/>
      <c r="F12" s="30">
        <v>17</v>
      </c>
      <c r="G12" s="30">
        <v>75</v>
      </c>
      <c r="H12" s="30">
        <v>8</v>
      </c>
      <c r="I12" s="29">
        <v>4.43</v>
      </c>
      <c r="J12" s="29">
        <v>68.2</v>
      </c>
      <c r="K12" s="28"/>
      <c r="L12" s="31"/>
      <c r="M12" s="32">
        <v>1</v>
      </c>
      <c r="N12" s="33">
        <v>7.32</v>
      </c>
      <c r="O12" s="33">
        <v>280</v>
      </c>
      <c r="P12" s="33">
        <v>250</v>
      </c>
      <c r="Q12" s="33">
        <v>36</v>
      </c>
      <c r="R12" s="33">
        <v>200</v>
      </c>
      <c r="S12" s="34">
        <v>0</v>
      </c>
      <c r="T12" s="72">
        <v>8000</v>
      </c>
      <c r="U12" s="73">
        <v>78.400000000000006</v>
      </c>
      <c r="V12" s="73">
        <v>85.4</v>
      </c>
      <c r="W12" s="74">
        <v>280</v>
      </c>
      <c r="X12" s="73">
        <v>76.3</v>
      </c>
      <c r="Y12" s="75">
        <v>0.33</v>
      </c>
      <c r="Z12" s="73">
        <v>65.3</v>
      </c>
      <c r="AA12" s="73">
        <v>0.45</v>
      </c>
      <c r="AB12" s="73">
        <v>25</v>
      </c>
      <c r="AC12" s="76">
        <v>140</v>
      </c>
      <c r="AD12" s="112">
        <v>250</v>
      </c>
      <c r="AE12" s="113">
        <v>1.073</v>
      </c>
      <c r="AF12" s="120">
        <v>1.006</v>
      </c>
      <c r="AG12" s="113">
        <v>1</v>
      </c>
      <c r="AH12" s="121">
        <v>76.3</v>
      </c>
    </row>
    <row r="13" spans="1:34" s="4" customFormat="1" ht="17.5" x14ac:dyDescent="0.35">
      <c r="A13" s="141">
        <v>840</v>
      </c>
      <c r="B13" s="27">
        <v>74.560199999999995</v>
      </c>
      <c r="C13" s="28"/>
      <c r="D13" s="29">
        <v>343.95371826816</v>
      </c>
      <c r="E13" s="29"/>
      <c r="F13" s="30">
        <v>18</v>
      </c>
      <c r="G13" s="30">
        <v>76</v>
      </c>
      <c r="H13" s="30">
        <v>6</v>
      </c>
      <c r="I13" s="29">
        <v>4.41</v>
      </c>
      <c r="J13" s="29">
        <v>71.010000000000005</v>
      </c>
      <c r="K13" s="28"/>
      <c r="L13" s="31"/>
      <c r="M13" s="32">
        <v>1</v>
      </c>
      <c r="N13" s="33">
        <v>7.34</v>
      </c>
      <c r="O13" s="30">
        <v>301</v>
      </c>
      <c r="P13" s="30">
        <v>275</v>
      </c>
      <c r="Q13" s="30">
        <v>32</v>
      </c>
      <c r="R13" s="30">
        <v>200</v>
      </c>
      <c r="S13" s="154">
        <v>0</v>
      </c>
      <c r="T13" s="72">
        <v>8000</v>
      </c>
      <c r="U13" s="73">
        <v>78.400000000000006</v>
      </c>
      <c r="V13" s="73">
        <v>85.5</v>
      </c>
      <c r="W13" s="74">
        <v>280</v>
      </c>
      <c r="X13" s="73">
        <v>76.5</v>
      </c>
      <c r="Y13" s="75">
        <v>0.33</v>
      </c>
      <c r="Z13" s="73">
        <v>65.5</v>
      </c>
      <c r="AA13" s="73">
        <v>0.39</v>
      </c>
      <c r="AB13" s="73">
        <v>25</v>
      </c>
      <c r="AC13" s="76">
        <v>140</v>
      </c>
      <c r="AD13" s="112">
        <v>240</v>
      </c>
      <c r="AE13" s="113">
        <v>1.071</v>
      </c>
      <c r="AF13" s="120">
        <v>1.006</v>
      </c>
      <c r="AG13" s="113">
        <v>1</v>
      </c>
      <c r="AH13" s="121">
        <v>76.5</v>
      </c>
    </row>
    <row r="14" spans="1:34" s="4" customFormat="1" ht="17.5" x14ac:dyDescent="0.35">
      <c r="A14" s="141">
        <v>841</v>
      </c>
      <c r="B14" s="27">
        <v>74.206516999999991</v>
      </c>
      <c r="C14" s="28"/>
      <c r="D14" s="29">
        <v>342.32214293791355</v>
      </c>
      <c r="E14" s="29"/>
      <c r="F14" s="30">
        <v>17</v>
      </c>
      <c r="G14" s="30">
        <v>76</v>
      </c>
      <c r="H14" s="30">
        <v>7</v>
      </c>
      <c r="I14" s="29">
        <v>4.41</v>
      </c>
      <c r="J14" s="29">
        <v>70.989999999999995</v>
      </c>
      <c r="K14" s="28"/>
      <c r="L14" s="31"/>
      <c r="M14" s="32">
        <v>1</v>
      </c>
      <c r="N14" s="33">
        <v>7.34</v>
      </c>
      <c r="O14" s="30">
        <v>301</v>
      </c>
      <c r="P14" s="30">
        <v>275</v>
      </c>
      <c r="Q14" s="30">
        <v>32</v>
      </c>
      <c r="R14" s="30">
        <v>200</v>
      </c>
      <c r="S14" s="154">
        <v>0</v>
      </c>
      <c r="T14" s="72">
        <v>8000</v>
      </c>
      <c r="U14" s="73">
        <v>78.599999999999994</v>
      </c>
      <c r="V14" s="73">
        <v>85.6</v>
      </c>
      <c r="W14" s="74">
        <v>300</v>
      </c>
      <c r="X14" s="73">
        <v>76.599999999999994</v>
      </c>
      <c r="Y14" s="75">
        <v>0.33</v>
      </c>
      <c r="Z14" s="73">
        <v>65</v>
      </c>
      <c r="AA14" s="73">
        <v>0.39</v>
      </c>
      <c r="AB14" s="73">
        <v>25</v>
      </c>
      <c r="AC14" s="76">
        <v>140</v>
      </c>
      <c r="AD14" s="112">
        <v>233</v>
      </c>
      <c r="AE14" s="113">
        <v>1.075</v>
      </c>
      <c r="AF14" s="120">
        <v>1.0049999999999999</v>
      </c>
      <c r="AG14" s="113">
        <v>1</v>
      </c>
      <c r="AH14" s="121">
        <v>76.599999999999994</v>
      </c>
    </row>
    <row r="15" spans="1:34" s="4" customFormat="1" ht="17.5" x14ac:dyDescent="0.35">
      <c r="A15" s="141">
        <v>842</v>
      </c>
      <c r="B15" s="27">
        <v>74.623295999999996</v>
      </c>
      <c r="C15" s="28"/>
      <c r="D15" s="29">
        <v>344.24478647623681</v>
      </c>
      <c r="E15" s="29"/>
      <c r="F15" s="30">
        <v>18</v>
      </c>
      <c r="G15" s="30">
        <v>76</v>
      </c>
      <c r="H15" s="30">
        <v>6</v>
      </c>
      <c r="I15" s="29">
        <v>4.72</v>
      </c>
      <c r="J15" s="29">
        <v>69.22</v>
      </c>
      <c r="K15" s="28"/>
      <c r="L15" s="31"/>
      <c r="M15" s="32">
        <v>1</v>
      </c>
      <c r="N15" s="29">
        <v>7.7</v>
      </c>
      <c r="O15" s="30">
        <v>330</v>
      </c>
      <c r="P15" s="30">
        <v>225</v>
      </c>
      <c r="Q15" s="30">
        <v>46</v>
      </c>
      <c r="R15" s="30">
        <v>150</v>
      </c>
      <c r="S15" s="36">
        <v>0</v>
      </c>
      <c r="T15" s="72">
        <v>8000</v>
      </c>
      <c r="U15" s="73">
        <v>78.400000000000006</v>
      </c>
      <c r="V15" s="73">
        <v>85.4</v>
      </c>
      <c r="W15" s="73">
        <v>295</v>
      </c>
      <c r="X15" s="73">
        <v>75.400000000000006</v>
      </c>
      <c r="Y15" s="75">
        <v>0.33</v>
      </c>
      <c r="Z15" s="73">
        <v>65.400000000000006</v>
      </c>
      <c r="AA15" s="73">
        <v>0.4</v>
      </c>
      <c r="AB15" s="73">
        <v>25</v>
      </c>
      <c r="AC15" s="76">
        <v>140</v>
      </c>
      <c r="AD15" s="112">
        <v>250</v>
      </c>
      <c r="AE15" s="113">
        <v>1.075</v>
      </c>
      <c r="AF15" s="120">
        <v>1.0049999999999999</v>
      </c>
      <c r="AG15" s="113">
        <v>1</v>
      </c>
      <c r="AH15" s="121">
        <v>75.400000000000006</v>
      </c>
    </row>
    <row r="16" spans="1:34" s="4" customFormat="1" ht="17.5" x14ac:dyDescent="0.35">
      <c r="A16" s="141">
        <v>843</v>
      </c>
      <c r="B16" s="27">
        <v>74.386861999999994</v>
      </c>
      <c r="C16" s="28"/>
      <c r="D16" s="29">
        <v>343.15409260168963</v>
      </c>
      <c r="E16" s="29"/>
      <c r="F16" s="30">
        <v>17</v>
      </c>
      <c r="G16" s="30">
        <v>75</v>
      </c>
      <c r="H16" s="30">
        <v>8</v>
      </c>
      <c r="I16" s="29">
        <v>4.62</v>
      </c>
      <c r="J16" s="29">
        <v>70.099999999999994</v>
      </c>
      <c r="K16" s="28"/>
      <c r="L16" s="31"/>
      <c r="M16" s="32">
        <v>1</v>
      </c>
      <c r="N16" s="29">
        <v>7.7</v>
      </c>
      <c r="O16" s="30">
        <v>330</v>
      </c>
      <c r="P16" s="30">
        <v>225</v>
      </c>
      <c r="Q16" s="30">
        <v>46</v>
      </c>
      <c r="R16" s="30">
        <v>150</v>
      </c>
      <c r="S16" s="36">
        <v>0</v>
      </c>
      <c r="T16" s="72">
        <v>8000</v>
      </c>
      <c r="U16" s="73">
        <v>78.5</v>
      </c>
      <c r="V16" s="73">
        <v>85.6</v>
      </c>
      <c r="W16" s="74">
        <v>295</v>
      </c>
      <c r="X16" s="73">
        <v>75.400000000000006</v>
      </c>
      <c r="Y16" s="75">
        <v>0.33</v>
      </c>
      <c r="Z16" s="73">
        <v>65.7</v>
      </c>
      <c r="AA16" s="73">
        <v>0.39</v>
      </c>
      <c r="AB16" s="73">
        <v>25</v>
      </c>
      <c r="AC16" s="76">
        <v>140</v>
      </c>
      <c r="AD16" s="112">
        <v>250</v>
      </c>
      <c r="AE16" s="113">
        <v>1.0720000000000001</v>
      </c>
      <c r="AF16" s="120">
        <v>1.0049999999999999</v>
      </c>
      <c r="AG16" s="113">
        <v>1</v>
      </c>
      <c r="AH16" s="121">
        <v>75.400000000000006</v>
      </c>
    </row>
    <row r="17" spans="1:34" s="4" customFormat="1" ht="17.5" x14ac:dyDescent="0.35">
      <c r="A17" s="141">
        <v>844</v>
      </c>
      <c r="B17" s="27">
        <v>74.424130999999988</v>
      </c>
      <c r="C17" s="28"/>
      <c r="D17" s="29">
        <v>343.32601825540479</v>
      </c>
      <c r="E17" s="29"/>
      <c r="F17" s="30">
        <v>18</v>
      </c>
      <c r="G17" s="30">
        <v>76</v>
      </c>
      <c r="H17" s="30">
        <v>6</v>
      </c>
      <c r="I17" s="29">
        <v>4.67</v>
      </c>
      <c r="J17" s="29">
        <v>69.62</v>
      </c>
      <c r="K17" s="28"/>
      <c r="L17" s="31"/>
      <c r="M17" s="32">
        <v>1</v>
      </c>
      <c r="N17" s="29">
        <v>7.49</v>
      </c>
      <c r="O17" s="30">
        <v>334</v>
      </c>
      <c r="P17" s="30">
        <v>225</v>
      </c>
      <c r="Q17" s="30">
        <v>44</v>
      </c>
      <c r="R17" s="30">
        <v>150</v>
      </c>
      <c r="S17" s="34">
        <v>0</v>
      </c>
      <c r="T17" s="72">
        <v>8000</v>
      </c>
      <c r="U17" s="73">
        <v>78.5</v>
      </c>
      <c r="V17" s="73">
        <v>85.4</v>
      </c>
      <c r="W17" s="74">
        <v>290</v>
      </c>
      <c r="X17" s="73">
        <v>76.5</v>
      </c>
      <c r="Y17" s="75">
        <v>0.33</v>
      </c>
      <c r="Z17" s="73">
        <v>65.2</v>
      </c>
      <c r="AA17" s="73">
        <v>0.41</v>
      </c>
      <c r="AB17" s="73">
        <v>25</v>
      </c>
      <c r="AC17" s="76">
        <v>140</v>
      </c>
      <c r="AD17" s="112">
        <v>305</v>
      </c>
      <c r="AE17" s="113">
        <v>1.07</v>
      </c>
      <c r="AF17" s="120">
        <v>1.0049999999999999</v>
      </c>
      <c r="AG17" s="113">
        <v>1</v>
      </c>
      <c r="AH17" s="121">
        <v>76.5</v>
      </c>
    </row>
    <row r="18" spans="1:34" s="4" customFormat="1" ht="17.5" x14ac:dyDescent="0.35">
      <c r="A18" s="141">
        <v>845</v>
      </c>
      <c r="B18" s="27">
        <v>74.075173000000007</v>
      </c>
      <c r="C18" s="28"/>
      <c r="D18" s="29">
        <v>341.71623982643848</v>
      </c>
      <c r="E18" s="29"/>
      <c r="F18" s="30">
        <v>17</v>
      </c>
      <c r="G18" s="30">
        <v>76</v>
      </c>
      <c r="H18" s="30">
        <v>7</v>
      </c>
      <c r="I18" s="29">
        <v>4.53</v>
      </c>
      <c r="J18" s="29">
        <v>69.2</v>
      </c>
      <c r="K18" s="28"/>
      <c r="L18" s="31"/>
      <c r="M18" s="32">
        <v>1</v>
      </c>
      <c r="N18" s="29">
        <v>7.49</v>
      </c>
      <c r="O18" s="30">
        <v>334</v>
      </c>
      <c r="P18" s="30">
        <v>225</v>
      </c>
      <c r="Q18" s="30">
        <v>44</v>
      </c>
      <c r="R18" s="30">
        <v>150</v>
      </c>
      <c r="S18" s="154">
        <v>0</v>
      </c>
      <c r="T18" s="72">
        <v>8000</v>
      </c>
      <c r="U18" s="73">
        <v>78.599999999999994</v>
      </c>
      <c r="V18" s="73">
        <v>85.6</v>
      </c>
      <c r="W18" s="74">
        <v>280</v>
      </c>
      <c r="X18" s="73">
        <v>76.599999999999994</v>
      </c>
      <c r="Y18" s="75">
        <v>0.33</v>
      </c>
      <c r="Z18" s="73">
        <v>65.599999999999994</v>
      </c>
      <c r="AA18" s="73">
        <v>0.44</v>
      </c>
      <c r="AB18" s="73">
        <v>25</v>
      </c>
      <c r="AC18" s="76">
        <v>140</v>
      </c>
      <c r="AD18" s="112">
        <v>295</v>
      </c>
      <c r="AE18" s="113">
        <v>1.069</v>
      </c>
      <c r="AF18" s="120">
        <v>1.0049999999999999</v>
      </c>
      <c r="AG18" s="113">
        <v>1</v>
      </c>
      <c r="AH18" s="121">
        <v>76.599999999999994</v>
      </c>
    </row>
    <row r="19" spans="1:34" s="4" customFormat="1" ht="17.5" x14ac:dyDescent="0.35">
      <c r="A19" s="141">
        <v>846</v>
      </c>
      <c r="B19" s="27">
        <v>74.143205999999992</v>
      </c>
      <c r="C19" s="28"/>
      <c r="D19" s="29">
        <v>342.03008291316479</v>
      </c>
      <c r="E19" s="29"/>
      <c r="F19" s="30">
        <v>17</v>
      </c>
      <c r="G19" s="30">
        <v>75</v>
      </c>
      <c r="H19" s="30">
        <v>8</v>
      </c>
      <c r="I19" s="29">
        <v>4.43</v>
      </c>
      <c r="J19" s="29">
        <v>70.11</v>
      </c>
      <c r="K19" s="28"/>
      <c r="L19" s="31"/>
      <c r="M19" s="39">
        <v>1</v>
      </c>
      <c r="N19" s="35">
        <v>7.43</v>
      </c>
      <c r="O19" s="35">
        <v>338</v>
      </c>
      <c r="P19" s="35">
        <v>225</v>
      </c>
      <c r="Q19" s="35">
        <v>44</v>
      </c>
      <c r="R19" s="35">
        <v>150</v>
      </c>
      <c r="S19" s="154">
        <v>0</v>
      </c>
      <c r="T19" s="72">
        <v>8000</v>
      </c>
      <c r="U19" s="73">
        <v>78.5</v>
      </c>
      <c r="V19" s="73">
        <v>85.5</v>
      </c>
      <c r="W19" s="74">
        <v>290</v>
      </c>
      <c r="X19" s="73">
        <v>76.2</v>
      </c>
      <c r="Y19" s="75">
        <v>0.33</v>
      </c>
      <c r="Z19" s="73">
        <v>65</v>
      </c>
      <c r="AA19" s="73">
        <v>0.4</v>
      </c>
      <c r="AB19" s="73">
        <v>25</v>
      </c>
      <c r="AC19" s="76">
        <v>140</v>
      </c>
      <c r="AD19" s="112">
        <v>298</v>
      </c>
      <c r="AE19" s="113">
        <v>1.073</v>
      </c>
      <c r="AF19" s="120">
        <v>1.0049999999999999</v>
      </c>
      <c r="AG19" s="113">
        <v>1</v>
      </c>
      <c r="AH19" s="121">
        <v>76.2</v>
      </c>
    </row>
    <row r="20" spans="1:34" s="4" customFormat="1" ht="17.5" x14ac:dyDescent="0.35">
      <c r="A20" s="141">
        <v>847</v>
      </c>
      <c r="B20" s="27">
        <v>74.075173000000007</v>
      </c>
      <c r="C20" s="28"/>
      <c r="D20" s="29">
        <v>341.71623982643848</v>
      </c>
      <c r="E20" s="29"/>
      <c r="F20" s="30">
        <v>17</v>
      </c>
      <c r="G20" s="30">
        <v>75</v>
      </c>
      <c r="H20" s="30">
        <v>8</v>
      </c>
      <c r="I20" s="29">
        <v>4.53</v>
      </c>
      <c r="J20" s="29">
        <v>71</v>
      </c>
      <c r="K20" s="28"/>
      <c r="L20" s="31"/>
      <c r="M20" s="39">
        <v>1</v>
      </c>
      <c r="N20" s="35">
        <v>7.43</v>
      </c>
      <c r="O20" s="35">
        <v>338</v>
      </c>
      <c r="P20" s="35">
        <v>225</v>
      </c>
      <c r="Q20" s="35">
        <v>44</v>
      </c>
      <c r="R20" s="35">
        <v>150</v>
      </c>
      <c r="S20" s="36">
        <v>0</v>
      </c>
      <c r="T20" s="72">
        <v>8000</v>
      </c>
      <c r="U20" s="73">
        <v>78.400000000000006</v>
      </c>
      <c r="V20" s="73">
        <v>85.4</v>
      </c>
      <c r="W20" s="73">
        <v>302</v>
      </c>
      <c r="X20" s="73">
        <v>76.400000000000006</v>
      </c>
      <c r="Y20" s="75">
        <v>0.33</v>
      </c>
      <c r="Z20" s="73">
        <v>65.099999999999994</v>
      </c>
      <c r="AA20" s="73">
        <v>0.39</v>
      </c>
      <c r="AB20" s="73">
        <v>25</v>
      </c>
      <c r="AC20" s="76">
        <v>140</v>
      </c>
      <c r="AD20" s="112">
        <v>299</v>
      </c>
      <c r="AE20" s="113">
        <v>1.075</v>
      </c>
      <c r="AF20" s="120">
        <v>1.0049999999999999</v>
      </c>
      <c r="AG20" s="113">
        <v>1</v>
      </c>
      <c r="AH20" s="121">
        <v>76.400000000000006</v>
      </c>
    </row>
    <row r="21" spans="1:34" s="4" customFormat="1" ht="17.5" x14ac:dyDescent="0.35">
      <c r="A21" s="141">
        <v>848</v>
      </c>
      <c r="B21" s="27">
        <v>74.143205999999992</v>
      </c>
      <c r="C21" s="28"/>
      <c r="D21" s="29">
        <v>342.03008291316479</v>
      </c>
      <c r="E21" s="29"/>
      <c r="F21" s="30">
        <v>18</v>
      </c>
      <c r="G21" s="30">
        <v>76</v>
      </c>
      <c r="H21" s="30">
        <v>6</v>
      </c>
      <c r="I21" s="29">
        <v>4.43</v>
      </c>
      <c r="J21" s="29">
        <v>69.989999999999995</v>
      </c>
      <c r="K21" s="28"/>
      <c r="L21" s="31"/>
      <c r="M21" s="39">
        <v>1</v>
      </c>
      <c r="N21" s="35">
        <v>7.42</v>
      </c>
      <c r="O21" s="35">
        <v>339</v>
      </c>
      <c r="P21" s="35">
        <v>225</v>
      </c>
      <c r="Q21" s="35">
        <v>42</v>
      </c>
      <c r="R21" s="35">
        <v>150</v>
      </c>
      <c r="S21" s="36">
        <v>0</v>
      </c>
      <c r="T21" s="72">
        <v>8000</v>
      </c>
      <c r="U21" s="73">
        <v>78.5</v>
      </c>
      <c r="V21" s="73">
        <v>85.4</v>
      </c>
      <c r="W21" s="74">
        <v>290</v>
      </c>
      <c r="X21" s="73">
        <v>76</v>
      </c>
      <c r="Y21" s="75">
        <v>0.33</v>
      </c>
      <c r="Z21" s="73">
        <v>65.3</v>
      </c>
      <c r="AA21" s="73">
        <v>0.4</v>
      </c>
      <c r="AB21" s="73">
        <v>25</v>
      </c>
      <c r="AC21" s="76">
        <v>140</v>
      </c>
      <c r="AD21" s="112">
        <v>299</v>
      </c>
      <c r="AE21" s="113">
        <v>1.071</v>
      </c>
      <c r="AF21" s="120">
        <v>1.0049999999999999</v>
      </c>
      <c r="AG21" s="113">
        <v>1</v>
      </c>
      <c r="AH21" s="121">
        <v>76</v>
      </c>
    </row>
    <row r="22" spans="1:34" s="4" customFormat="1" ht="17.5" x14ac:dyDescent="0.35">
      <c r="A22" s="141">
        <v>849</v>
      </c>
      <c r="B22" s="27">
        <v>74.373637000000002</v>
      </c>
      <c r="C22" s="28"/>
      <c r="D22" s="29">
        <v>343.09308434360969</v>
      </c>
      <c r="E22" s="29"/>
      <c r="F22" s="30">
        <v>18</v>
      </c>
      <c r="G22" s="30">
        <v>75</v>
      </c>
      <c r="H22" s="30">
        <v>7</v>
      </c>
      <c r="I22" s="29">
        <v>4.49</v>
      </c>
      <c r="J22" s="29">
        <v>70.14</v>
      </c>
      <c r="K22" s="28"/>
      <c r="L22" s="31"/>
      <c r="M22" s="39">
        <v>1</v>
      </c>
      <c r="N22" s="35">
        <v>7.42</v>
      </c>
      <c r="O22" s="35">
        <v>339</v>
      </c>
      <c r="P22" s="35">
        <v>225</v>
      </c>
      <c r="Q22" s="35">
        <v>42</v>
      </c>
      <c r="R22" s="35">
        <v>150</v>
      </c>
      <c r="S22" s="34">
        <v>0</v>
      </c>
      <c r="T22" s="72">
        <v>8000</v>
      </c>
      <c r="U22" s="77">
        <v>78.599999999999994</v>
      </c>
      <c r="V22" s="77">
        <v>85.6</v>
      </c>
      <c r="W22" s="73">
        <v>300</v>
      </c>
      <c r="X22" s="77">
        <v>76.599999999999994</v>
      </c>
      <c r="Y22" s="75">
        <v>0.33</v>
      </c>
      <c r="Z22" s="73">
        <v>65</v>
      </c>
      <c r="AA22" s="77">
        <v>0.41</v>
      </c>
      <c r="AB22" s="73">
        <v>25</v>
      </c>
      <c r="AC22" s="76">
        <v>140</v>
      </c>
      <c r="AD22" s="112">
        <v>265</v>
      </c>
      <c r="AE22" s="115">
        <v>1.0720000000000001</v>
      </c>
      <c r="AF22" s="122">
        <v>1.0049999999999999</v>
      </c>
      <c r="AG22" s="113">
        <v>1</v>
      </c>
      <c r="AH22" s="123">
        <v>76.599999999999994</v>
      </c>
    </row>
    <row r="23" spans="1:34" s="4" customFormat="1" ht="17.5" x14ac:dyDescent="0.35">
      <c r="A23" s="141">
        <v>850</v>
      </c>
      <c r="B23" s="27">
        <v>74.095405999999997</v>
      </c>
      <c r="C23" s="28"/>
      <c r="D23" s="29">
        <v>341.80957669492483</v>
      </c>
      <c r="E23" s="29"/>
      <c r="F23" s="30">
        <v>17</v>
      </c>
      <c r="G23" s="30">
        <v>76</v>
      </c>
      <c r="H23" s="30">
        <v>7</v>
      </c>
      <c r="I23" s="29">
        <v>4.59</v>
      </c>
      <c r="J23" s="29">
        <v>69.28</v>
      </c>
      <c r="K23" s="28"/>
      <c r="L23" s="31"/>
      <c r="M23" s="39">
        <v>1</v>
      </c>
      <c r="N23" s="35">
        <v>7.38</v>
      </c>
      <c r="O23" s="35">
        <v>330</v>
      </c>
      <c r="P23" s="35">
        <v>225</v>
      </c>
      <c r="Q23" s="35">
        <v>42</v>
      </c>
      <c r="R23" s="35">
        <v>150</v>
      </c>
      <c r="S23" s="154">
        <v>0</v>
      </c>
      <c r="T23" s="72">
        <v>8000</v>
      </c>
      <c r="U23" s="77">
        <v>78.400000000000006</v>
      </c>
      <c r="V23" s="77">
        <v>85.4</v>
      </c>
      <c r="W23" s="73">
        <v>280</v>
      </c>
      <c r="X23" s="77">
        <v>75.400000000000006</v>
      </c>
      <c r="Y23" s="75">
        <v>0.33</v>
      </c>
      <c r="Z23" s="73">
        <v>65</v>
      </c>
      <c r="AA23" s="77">
        <v>0.42</v>
      </c>
      <c r="AB23" s="73">
        <v>25</v>
      </c>
      <c r="AC23" s="76">
        <v>140</v>
      </c>
      <c r="AD23" s="112">
        <v>270</v>
      </c>
      <c r="AE23" s="115">
        <v>1.0720000000000001</v>
      </c>
      <c r="AF23" s="122">
        <v>1.0049999999999999</v>
      </c>
      <c r="AG23" s="113">
        <v>1</v>
      </c>
      <c r="AH23" s="123">
        <v>75.400000000000006</v>
      </c>
    </row>
    <row r="24" spans="1:34" s="4" customFormat="1" ht="17.5" x14ac:dyDescent="0.35">
      <c r="A24" s="141">
        <v>851</v>
      </c>
      <c r="B24" s="27">
        <v>74.039678999999992</v>
      </c>
      <c r="C24" s="28"/>
      <c r="D24" s="29">
        <v>341.55250242664317</v>
      </c>
      <c r="E24" s="41"/>
      <c r="F24" s="30">
        <v>18</v>
      </c>
      <c r="G24" s="30">
        <v>75</v>
      </c>
      <c r="H24" s="30">
        <v>7</v>
      </c>
      <c r="I24" s="29">
        <v>4.87</v>
      </c>
      <c r="J24" s="29">
        <v>69.78</v>
      </c>
      <c r="K24" s="28"/>
      <c r="L24" s="31"/>
      <c r="M24" s="39">
        <v>1</v>
      </c>
      <c r="N24" s="35">
        <v>7.38</v>
      </c>
      <c r="O24" s="35">
        <v>330</v>
      </c>
      <c r="P24" s="35">
        <v>225</v>
      </c>
      <c r="Q24" s="35">
        <v>42</v>
      </c>
      <c r="R24" s="35">
        <v>150</v>
      </c>
      <c r="S24" s="42">
        <v>0</v>
      </c>
      <c r="T24" s="72">
        <v>8000</v>
      </c>
      <c r="U24" s="77">
        <v>78.5</v>
      </c>
      <c r="V24" s="77">
        <v>85.5</v>
      </c>
      <c r="W24" s="73">
        <v>300</v>
      </c>
      <c r="X24" s="77">
        <v>76.2</v>
      </c>
      <c r="Y24" s="75">
        <v>0.33</v>
      </c>
      <c r="Z24" s="73">
        <v>65.2</v>
      </c>
      <c r="AA24" s="77">
        <v>0.39</v>
      </c>
      <c r="AB24" s="73">
        <v>25</v>
      </c>
      <c r="AC24" s="76">
        <v>140</v>
      </c>
      <c r="AD24" s="112">
        <v>240</v>
      </c>
      <c r="AE24" s="115">
        <v>1.0740000000000001</v>
      </c>
      <c r="AF24" s="122">
        <v>1.006</v>
      </c>
      <c r="AG24" s="113">
        <v>1</v>
      </c>
      <c r="AH24" s="123">
        <v>76.2</v>
      </c>
    </row>
    <row r="25" spans="1:34" s="4" customFormat="1" ht="17.5" x14ac:dyDescent="0.35">
      <c r="A25" s="141">
        <v>852</v>
      </c>
      <c r="B25" s="27">
        <v>74.325155999999993</v>
      </c>
      <c r="C25" s="28"/>
      <c r="D25" s="29">
        <v>342.86943660372481</v>
      </c>
      <c r="E25" s="29"/>
      <c r="F25" s="30">
        <v>17</v>
      </c>
      <c r="G25" s="30">
        <v>75</v>
      </c>
      <c r="H25" s="30">
        <v>8</v>
      </c>
      <c r="I25" s="29">
        <v>4.54</v>
      </c>
      <c r="J25" s="29">
        <v>70.28</v>
      </c>
      <c r="K25" s="28"/>
      <c r="L25" s="31"/>
      <c r="M25" s="32"/>
      <c r="N25" s="38"/>
      <c r="O25" s="30"/>
      <c r="P25" s="30"/>
      <c r="Q25" s="30"/>
      <c r="R25" s="30"/>
      <c r="S25" s="36"/>
      <c r="T25" s="72">
        <v>8000</v>
      </c>
      <c r="U25" s="77">
        <v>78.599999999999994</v>
      </c>
      <c r="V25" s="77">
        <v>85.6</v>
      </c>
      <c r="W25" s="73">
        <v>300</v>
      </c>
      <c r="X25" s="77">
        <v>77.099999999999994</v>
      </c>
      <c r="Y25" s="75">
        <v>0.33</v>
      </c>
      <c r="Z25" s="73">
        <v>65.400000000000006</v>
      </c>
      <c r="AA25" s="77">
        <v>0.43</v>
      </c>
      <c r="AB25" s="73">
        <v>25</v>
      </c>
      <c r="AC25" s="76">
        <v>140</v>
      </c>
      <c r="AD25" s="112">
        <v>300</v>
      </c>
      <c r="AE25" s="115">
        <v>1.07</v>
      </c>
      <c r="AF25" s="122">
        <v>1.0049999999999999</v>
      </c>
      <c r="AG25" s="113">
        <v>1</v>
      </c>
      <c r="AH25" s="123">
        <v>77.099999999999994</v>
      </c>
    </row>
    <row r="26" spans="1:34" s="4" customFormat="1" ht="17.5" x14ac:dyDescent="0.35">
      <c r="A26" s="141">
        <v>853</v>
      </c>
      <c r="B26" s="27">
        <v>74.329634000000013</v>
      </c>
      <c r="C26" s="28"/>
      <c r="D26" s="29">
        <v>342.89009406910731</v>
      </c>
      <c r="E26" s="29"/>
      <c r="F26" s="30">
        <v>18</v>
      </c>
      <c r="G26" s="30">
        <v>76</v>
      </c>
      <c r="H26" s="30">
        <v>6</v>
      </c>
      <c r="I26" s="29">
        <v>4.62</v>
      </c>
      <c r="J26" s="29">
        <v>69.98</v>
      </c>
      <c r="K26" s="28"/>
      <c r="L26" s="31"/>
      <c r="M26" s="39"/>
      <c r="N26" s="38"/>
      <c r="O26" s="38"/>
      <c r="P26" s="38"/>
      <c r="Q26" s="38"/>
      <c r="R26" s="38"/>
      <c r="S26" s="42"/>
      <c r="T26" s="72">
        <v>8000</v>
      </c>
      <c r="U26" s="77">
        <v>78.5</v>
      </c>
      <c r="V26" s="77">
        <v>85.2</v>
      </c>
      <c r="W26" s="73">
        <v>295</v>
      </c>
      <c r="X26" s="77">
        <v>770</v>
      </c>
      <c r="Y26" s="75">
        <v>0.33</v>
      </c>
      <c r="Z26" s="73">
        <v>65</v>
      </c>
      <c r="AA26" s="77">
        <v>0.39</v>
      </c>
      <c r="AB26" s="73">
        <v>25</v>
      </c>
      <c r="AC26" s="76">
        <v>140</v>
      </c>
      <c r="AD26" s="112">
        <v>302</v>
      </c>
      <c r="AE26" s="115">
        <v>1.0720000000000001</v>
      </c>
      <c r="AF26" s="122">
        <v>1.0049999999999999</v>
      </c>
      <c r="AG26" s="113">
        <v>1</v>
      </c>
      <c r="AH26" s="123">
        <v>770</v>
      </c>
    </row>
    <row r="27" spans="1:34" s="4" customFormat="1" ht="17.5" x14ac:dyDescent="0.35">
      <c r="A27" s="141">
        <v>854</v>
      </c>
      <c r="B27" s="27">
        <v>74.091184000000013</v>
      </c>
      <c r="C27" s="28"/>
      <c r="D27" s="29">
        <v>341.79010018334731</v>
      </c>
      <c r="E27" s="29"/>
      <c r="F27" s="30">
        <v>17</v>
      </c>
      <c r="G27" s="30">
        <v>76</v>
      </c>
      <c r="H27" s="30">
        <v>7</v>
      </c>
      <c r="I27" s="29">
        <v>4.62</v>
      </c>
      <c r="J27" s="29">
        <v>70.28</v>
      </c>
      <c r="K27" s="28"/>
      <c r="L27" s="31"/>
      <c r="M27" s="32"/>
      <c r="N27" s="38"/>
      <c r="O27" s="30"/>
      <c r="P27" s="30"/>
      <c r="Q27" s="30"/>
      <c r="R27" s="30"/>
      <c r="S27" s="36"/>
      <c r="T27" s="72">
        <v>8000</v>
      </c>
      <c r="U27" s="77">
        <v>78.5</v>
      </c>
      <c r="V27" s="77">
        <v>85.4</v>
      </c>
      <c r="W27" s="73">
        <v>290</v>
      </c>
      <c r="X27" s="77">
        <v>76</v>
      </c>
      <c r="Y27" s="75">
        <v>0.33</v>
      </c>
      <c r="Z27" s="73">
        <v>65.099999999999994</v>
      </c>
      <c r="AA27" s="73">
        <v>0.38</v>
      </c>
      <c r="AB27" s="73">
        <v>25</v>
      </c>
      <c r="AC27" s="76">
        <v>140</v>
      </c>
      <c r="AD27" s="112">
        <v>307</v>
      </c>
      <c r="AE27" s="113">
        <v>1.075</v>
      </c>
      <c r="AF27" s="122">
        <v>1.0049999999999999</v>
      </c>
      <c r="AG27" s="113">
        <v>1</v>
      </c>
      <c r="AH27" s="123">
        <v>76</v>
      </c>
    </row>
    <row r="28" spans="1:34" s="4" customFormat="1" ht="17.5" x14ac:dyDescent="0.35">
      <c r="A28" s="141">
        <v>855</v>
      </c>
      <c r="B28" s="27">
        <v>74.255082000000002</v>
      </c>
      <c r="C28" s="28"/>
      <c r="D28" s="29">
        <v>342.54617817826568</v>
      </c>
      <c r="E28" s="29"/>
      <c r="F28" s="30">
        <v>18</v>
      </c>
      <c r="G28" s="30">
        <v>76</v>
      </c>
      <c r="H28" s="30">
        <v>6</v>
      </c>
      <c r="I28" s="29">
        <v>4.63</v>
      </c>
      <c r="J28" s="29">
        <v>71.22</v>
      </c>
      <c r="K28" s="28"/>
      <c r="L28" s="31"/>
      <c r="M28" s="32"/>
      <c r="N28" s="38"/>
      <c r="O28" s="38"/>
      <c r="P28" s="38"/>
      <c r="Q28" s="38"/>
      <c r="R28" s="38"/>
      <c r="S28" s="42"/>
      <c r="T28" s="72">
        <v>8000</v>
      </c>
      <c r="U28" s="77">
        <v>78.599999999999994</v>
      </c>
      <c r="V28" s="77">
        <v>85.6</v>
      </c>
      <c r="W28" s="75">
        <v>290</v>
      </c>
      <c r="X28" s="75">
        <v>76.599999999999994</v>
      </c>
      <c r="Y28" s="75">
        <v>0.33</v>
      </c>
      <c r="Z28" s="73">
        <v>65.8</v>
      </c>
      <c r="AA28" s="75">
        <v>0.4</v>
      </c>
      <c r="AB28" s="73">
        <v>25</v>
      </c>
      <c r="AC28" s="76">
        <v>140</v>
      </c>
      <c r="AD28" s="112">
        <v>295</v>
      </c>
      <c r="AE28" s="116">
        <v>1.07</v>
      </c>
      <c r="AF28" s="124">
        <v>1.0049999999999999</v>
      </c>
      <c r="AG28" s="113">
        <v>1</v>
      </c>
      <c r="AH28" s="114">
        <v>76.599999999999994</v>
      </c>
    </row>
    <row r="29" spans="1:34" s="4" customFormat="1" ht="17.5" x14ac:dyDescent="0.35">
      <c r="A29" s="141">
        <v>856</v>
      </c>
      <c r="B29" s="27">
        <v>74.589823999999993</v>
      </c>
      <c r="C29" s="28"/>
      <c r="D29" s="29">
        <v>344.09037676625923</v>
      </c>
      <c r="E29" s="29"/>
      <c r="F29" s="30">
        <v>18</v>
      </c>
      <c r="G29" s="30">
        <v>76</v>
      </c>
      <c r="H29" s="30">
        <v>6</v>
      </c>
      <c r="I29" s="29">
        <v>4.47</v>
      </c>
      <c r="J29" s="29">
        <v>69.2</v>
      </c>
      <c r="K29" s="28"/>
      <c r="L29" s="31"/>
      <c r="M29" s="32"/>
      <c r="N29" s="38"/>
      <c r="O29" s="30"/>
      <c r="P29" s="30"/>
      <c r="Q29" s="30"/>
      <c r="R29" s="30"/>
      <c r="S29" s="36"/>
      <c r="T29" s="72">
        <v>8000</v>
      </c>
      <c r="U29" s="73">
        <v>78.5</v>
      </c>
      <c r="V29" s="73">
        <v>85.2</v>
      </c>
      <c r="W29" s="75">
        <v>280</v>
      </c>
      <c r="X29" s="75">
        <v>77</v>
      </c>
      <c r="Y29" s="75">
        <v>0.33</v>
      </c>
      <c r="Z29" s="73">
        <v>65.3</v>
      </c>
      <c r="AA29" s="75">
        <v>0.39</v>
      </c>
      <c r="AB29" s="73">
        <v>25</v>
      </c>
      <c r="AC29" s="76">
        <v>140</v>
      </c>
      <c r="AD29" s="112">
        <v>307</v>
      </c>
      <c r="AE29" s="116">
        <v>1.0720000000000001</v>
      </c>
      <c r="AF29" s="124">
        <v>1.0049999999999999</v>
      </c>
      <c r="AG29" s="113">
        <v>1</v>
      </c>
      <c r="AH29" s="114">
        <v>77</v>
      </c>
    </row>
    <row r="30" spans="1:34" s="4" customFormat="1" ht="17.5" x14ac:dyDescent="0.35">
      <c r="A30" s="141">
        <v>857</v>
      </c>
      <c r="B30" s="27">
        <v>74.24904500000001</v>
      </c>
      <c r="C30" s="28"/>
      <c r="D30" s="29">
        <v>342.51832888873605</v>
      </c>
      <c r="E30" s="29"/>
      <c r="F30" s="30">
        <v>17</v>
      </c>
      <c r="G30" s="30">
        <v>76</v>
      </c>
      <c r="H30" s="30">
        <v>7</v>
      </c>
      <c r="I30" s="29">
        <v>4.6500000000000004</v>
      </c>
      <c r="J30" s="29">
        <v>69.989999999999995</v>
      </c>
      <c r="K30" s="28"/>
      <c r="L30" s="31"/>
      <c r="M30" s="32"/>
      <c r="N30" s="38"/>
      <c r="O30" s="30"/>
      <c r="P30" s="30"/>
      <c r="Q30" s="30"/>
      <c r="R30" s="30"/>
      <c r="S30" s="36"/>
      <c r="T30" s="72">
        <v>8000</v>
      </c>
      <c r="U30" s="73">
        <v>78.400000000000006</v>
      </c>
      <c r="V30" s="73">
        <v>85.4</v>
      </c>
      <c r="W30" s="75">
        <v>295</v>
      </c>
      <c r="X30" s="75">
        <v>76.2</v>
      </c>
      <c r="Y30" s="75">
        <v>0.33</v>
      </c>
      <c r="Z30" s="73">
        <v>65.099999999999994</v>
      </c>
      <c r="AA30" s="75">
        <v>0.41</v>
      </c>
      <c r="AB30" s="73">
        <v>25</v>
      </c>
      <c r="AC30" s="76">
        <v>140</v>
      </c>
      <c r="AD30" s="112">
        <v>260</v>
      </c>
      <c r="AE30" s="116">
        <v>1.071</v>
      </c>
      <c r="AF30" s="124">
        <v>1.0049999999999999</v>
      </c>
      <c r="AG30" s="113">
        <v>1</v>
      </c>
      <c r="AH30" s="114">
        <v>76.2</v>
      </c>
    </row>
    <row r="31" spans="1:34" s="4" customFormat="1" ht="17.5" x14ac:dyDescent="0.35">
      <c r="A31" s="141">
        <v>858</v>
      </c>
      <c r="B31" s="27">
        <v>74.21265600000001</v>
      </c>
      <c r="C31" s="28"/>
      <c r="D31" s="29">
        <v>342.35046276372486</v>
      </c>
      <c r="E31" s="29"/>
      <c r="F31" s="30">
        <v>18</v>
      </c>
      <c r="G31" s="30">
        <v>76</v>
      </c>
      <c r="H31" s="30">
        <v>6</v>
      </c>
      <c r="I31" s="35">
        <v>4.66</v>
      </c>
      <c r="J31" s="29">
        <v>70.099999999999994</v>
      </c>
      <c r="K31" s="28"/>
      <c r="L31" s="31"/>
      <c r="M31" s="39"/>
      <c r="N31" s="38"/>
      <c r="O31" s="30"/>
      <c r="P31" s="30"/>
      <c r="Q31" s="30"/>
      <c r="R31" s="30"/>
      <c r="S31" s="36"/>
      <c r="T31" s="72">
        <v>8000</v>
      </c>
      <c r="U31" s="73">
        <v>78.5</v>
      </c>
      <c r="V31" s="73">
        <v>85.4</v>
      </c>
      <c r="W31" s="75">
        <v>285</v>
      </c>
      <c r="X31" s="75">
        <v>77</v>
      </c>
      <c r="Y31" s="75">
        <v>0.33</v>
      </c>
      <c r="Z31" s="73">
        <v>65</v>
      </c>
      <c r="AA31" s="75">
        <v>0.38</v>
      </c>
      <c r="AB31" s="73">
        <v>25</v>
      </c>
      <c r="AC31" s="76">
        <v>140</v>
      </c>
      <c r="AD31" s="112">
        <v>265</v>
      </c>
      <c r="AE31" s="116">
        <v>1.07</v>
      </c>
      <c r="AF31" s="124">
        <v>1.0049999999999999</v>
      </c>
      <c r="AG31" s="113">
        <v>1</v>
      </c>
      <c r="AH31" s="114">
        <v>77</v>
      </c>
    </row>
    <row r="32" spans="1:34" s="4" customFormat="1" ht="17.5" x14ac:dyDescent="0.35">
      <c r="A32" s="141">
        <v>859</v>
      </c>
      <c r="B32" s="27">
        <v>74.070810999999992</v>
      </c>
      <c r="C32" s="28"/>
      <c r="D32" s="29">
        <v>341.6961174807488</v>
      </c>
      <c r="E32" s="29"/>
      <c r="F32" s="30">
        <v>17</v>
      </c>
      <c r="G32" s="30">
        <v>75</v>
      </c>
      <c r="H32" s="30">
        <v>8</v>
      </c>
      <c r="I32" s="35">
        <v>4.83</v>
      </c>
      <c r="J32" s="29">
        <v>69.900000000000006</v>
      </c>
      <c r="K32" s="28"/>
      <c r="L32" s="31"/>
      <c r="M32" s="32"/>
      <c r="N32" s="29"/>
      <c r="O32" s="30"/>
      <c r="P32" s="30"/>
      <c r="Q32" s="30"/>
      <c r="R32" s="30"/>
      <c r="S32" s="36"/>
      <c r="T32" s="72">
        <v>8000</v>
      </c>
      <c r="U32" s="73">
        <v>78.400000000000006</v>
      </c>
      <c r="V32" s="73">
        <v>85.4</v>
      </c>
      <c r="W32" s="75">
        <v>300</v>
      </c>
      <c r="X32" s="75">
        <v>76.900000000000006</v>
      </c>
      <c r="Y32" s="75">
        <v>0.33</v>
      </c>
      <c r="Z32" s="73">
        <v>65</v>
      </c>
      <c r="AA32" s="75">
        <v>0.41</v>
      </c>
      <c r="AB32" s="73">
        <v>25</v>
      </c>
      <c r="AC32" s="76">
        <v>140</v>
      </c>
      <c r="AD32" s="112">
        <v>250</v>
      </c>
      <c r="AE32" s="116">
        <v>1.069</v>
      </c>
      <c r="AF32" s="124">
        <v>1.0049999999999999</v>
      </c>
      <c r="AG32" s="113">
        <v>1</v>
      </c>
      <c r="AH32" s="114">
        <v>76.900000000000006</v>
      </c>
    </row>
    <row r="33" spans="1:34" s="4" customFormat="1" ht="17.5" x14ac:dyDescent="0.35">
      <c r="A33" s="141">
        <v>860</v>
      </c>
      <c r="B33" s="27">
        <v>74.146078000000003</v>
      </c>
      <c r="C33" s="28"/>
      <c r="D33" s="29">
        <v>342.04333173866246</v>
      </c>
      <c r="E33" s="29"/>
      <c r="F33" s="30">
        <v>18</v>
      </c>
      <c r="G33" s="30">
        <v>76</v>
      </c>
      <c r="H33" s="30">
        <v>6</v>
      </c>
      <c r="I33" s="35">
        <v>4.7699999999999996</v>
      </c>
      <c r="J33" s="29">
        <v>71.11</v>
      </c>
      <c r="K33" s="28"/>
      <c r="L33" s="31"/>
      <c r="M33" s="32"/>
      <c r="N33" s="29"/>
      <c r="O33" s="30"/>
      <c r="P33" s="30"/>
      <c r="Q33" s="30"/>
      <c r="R33" s="30"/>
      <c r="S33" s="36"/>
      <c r="T33" s="72">
        <v>8000</v>
      </c>
      <c r="U33" s="73">
        <v>78.599999999999994</v>
      </c>
      <c r="V33" s="73">
        <v>85.6</v>
      </c>
      <c r="W33" s="75">
        <v>300</v>
      </c>
      <c r="X33" s="75">
        <v>77.2</v>
      </c>
      <c r="Y33" s="75">
        <v>0.33</v>
      </c>
      <c r="Z33" s="73">
        <v>65.3</v>
      </c>
      <c r="AA33" s="75">
        <v>0.42</v>
      </c>
      <c r="AB33" s="73">
        <v>25</v>
      </c>
      <c r="AC33" s="76">
        <v>140</v>
      </c>
      <c r="AD33" s="112">
        <v>245</v>
      </c>
      <c r="AE33" s="116">
        <v>1.073</v>
      </c>
      <c r="AF33" s="124">
        <v>1.0049999999999999</v>
      </c>
      <c r="AG33" s="113">
        <v>1</v>
      </c>
      <c r="AH33" s="114">
        <v>77.2</v>
      </c>
    </row>
    <row r="34" spans="1:34" s="4" customFormat="1" ht="17.5" x14ac:dyDescent="0.35">
      <c r="A34" s="141">
        <v>861</v>
      </c>
      <c r="B34" s="27">
        <v>74.325155999999993</v>
      </c>
      <c r="C34" s="28"/>
      <c r="D34" s="29">
        <v>342.86943660372481</v>
      </c>
      <c r="E34" s="29"/>
      <c r="F34" s="30">
        <v>18</v>
      </c>
      <c r="G34" s="30">
        <v>75</v>
      </c>
      <c r="H34" s="30">
        <v>7</v>
      </c>
      <c r="I34" s="35">
        <v>4.54</v>
      </c>
      <c r="J34" s="29">
        <v>68.27</v>
      </c>
      <c r="K34" s="28"/>
      <c r="L34" s="31"/>
      <c r="M34" s="32"/>
      <c r="N34" s="29"/>
      <c r="O34" s="30"/>
      <c r="P34" s="30"/>
      <c r="Q34" s="30"/>
      <c r="R34" s="30"/>
      <c r="S34" s="36"/>
      <c r="T34" s="72">
        <v>8000</v>
      </c>
      <c r="U34" s="73">
        <v>78.400000000000006</v>
      </c>
      <c r="V34" s="73">
        <v>85.4</v>
      </c>
      <c r="W34" s="75">
        <v>280</v>
      </c>
      <c r="X34" s="75">
        <v>76.2</v>
      </c>
      <c r="Y34" s="75">
        <v>0.33</v>
      </c>
      <c r="Z34" s="73">
        <v>65</v>
      </c>
      <c r="AA34" s="75">
        <v>0.4</v>
      </c>
      <c r="AB34" s="73">
        <v>25</v>
      </c>
      <c r="AC34" s="76">
        <v>140</v>
      </c>
      <c r="AD34" s="112">
        <v>235</v>
      </c>
      <c r="AE34" s="116">
        <v>1.075</v>
      </c>
      <c r="AF34" s="124">
        <v>1.0049999999999999</v>
      </c>
      <c r="AG34" s="113">
        <v>1</v>
      </c>
      <c r="AH34" s="114">
        <v>76.2</v>
      </c>
    </row>
    <row r="35" spans="1:34" s="4" customFormat="1" ht="17.5" x14ac:dyDescent="0.35">
      <c r="A35" s="141">
        <v>862</v>
      </c>
      <c r="B35" s="27">
        <v>73.994447999999991</v>
      </c>
      <c r="C35" s="28"/>
      <c r="D35" s="29">
        <v>341.34384726435843</v>
      </c>
      <c r="E35" s="29"/>
      <c r="F35" s="30">
        <v>17</v>
      </c>
      <c r="G35" s="30">
        <v>76</v>
      </c>
      <c r="H35" s="30">
        <v>7</v>
      </c>
      <c r="I35" s="35">
        <v>4.72</v>
      </c>
      <c r="J35" s="29">
        <v>70</v>
      </c>
      <c r="K35" s="28"/>
      <c r="L35" s="31"/>
      <c r="M35" s="32"/>
      <c r="N35" s="29"/>
      <c r="O35" s="30"/>
      <c r="P35" s="30"/>
      <c r="Q35" s="30"/>
      <c r="R35" s="30"/>
      <c r="S35" s="36"/>
      <c r="T35" s="72">
        <v>8000</v>
      </c>
      <c r="U35" s="73">
        <v>78.5</v>
      </c>
      <c r="V35" s="73">
        <v>85.4</v>
      </c>
      <c r="W35" s="75">
        <v>290</v>
      </c>
      <c r="X35" s="75">
        <v>76</v>
      </c>
      <c r="Y35" s="75">
        <v>0.33</v>
      </c>
      <c r="Z35" s="73">
        <v>65.5</v>
      </c>
      <c r="AA35" s="75">
        <v>0.41</v>
      </c>
      <c r="AB35" s="73">
        <v>25</v>
      </c>
      <c r="AC35" s="76">
        <v>140</v>
      </c>
      <c r="AD35" s="112">
        <v>260</v>
      </c>
      <c r="AE35" s="116">
        <v>1.0740000000000001</v>
      </c>
      <c r="AF35" s="124">
        <v>1.0049999999999999</v>
      </c>
      <c r="AG35" s="113">
        <v>1</v>
      </c>
      <c r="AH35" s="114">
        <v>76</v>
      </c>
    </row>
    <row r="36" spans="1:34" s="4" customFormat="1" ht="17.5" x14ac:dyDescent="0.35">
      <c r="A36" s="141">
        <v>863</v>
      </c>
      <c r="B36" s="27">
        <v>74.198834999999988</v>
      </c>
      <c r="C36" s="28"/>
      <c r="D36" s="29">
        <v>342.28670509756802</v>
      </c>
      <c r="E36" s="29"/>
      <c r="F36" s="30">
        <v>18</v>
      </c>
      <c r="G36" s="30">
        <v>75</v>
      </c>
      <c r="H36" s="30">
        <v>7</v>
      </c>
      <c r="I36" s="35">
        <v>4.6900000000000004</v>
      </c>
      <c r="J36" s="29">
        <v>71.239999999999995</v>
      </c>
      <c r="K36" s="28"/>
      <c r="L36" s="31"/>
      <c r="M36" s="39"/>
      <c r="N36" s="35"/>
      <c r="O36" s="35"/>
      <c r="P36" s="35"/>
      <c r="Q36" s="35"/>
      <c r="R36" s="35"/>
      <c r="S36" s="40"/>
      <c r="T36" s="72">
        <v>8000</v>
      </c>
      <c r="U36" s="73">
        <v>78.400000000000006</v>
      </c>
      <c r="V36" s="73">
        <v>85.5</v>
      </c>
      <c r="W36" s="75">
        <v>295</v>
      </c>
      <c r="X36" s="75">
        <v>76</v>
      </c>
      <c r="Y36" s="75">
        <v>0.33</v>
      </c>
      <c r="Z36" s="73">
        <v>65.2</v>
      </c>
      <c r="AA36" s="75">
        <v>0.39</v>
      </c>
      <c r="AB36" s="73">
        <v>25</v>
      </c>
      <c r="AC36" s="76">
        <v>140</v>
      </c>
      <c r="AD36" s="112">
        <v>265</v>
      </c>
      <c r="AE36" s="116">
        <v>1.07</v>
      </c>
      <c r="AF36" s="124">
        <v>1.0049999999999999</v>
      </c>
      <c r="AG36" s="113">
        <v>1</v>
      </c>
      <c r="AH36" s="114">
        <v>76</v>
      </c>
    </row>
    <row r="37" spans="1:34" s="4" customFormat="1" ht="17.5" x14ac:dyDescent="0.35">
      <c r="A37" s="141">
        <v>864</v>
      </c>
      <c r="B37" s="27">
        <v>74.269025999999997</v>
      </c>
      <c r="C37" s="28"/>
      <c r="D37" s="29">
        <v>342.61050325582079</v>
      </c>
      <c r="E37" s="29"/>
      <c r="F37" s="30">
        <v>17</v>
      </c>
      <c r="G37" s="30">
        <v>75</v>
      </c>
      <c r="H37" s="30">
        <v>8</v>
      </c>
      <c r="I37" s="35">
        <v>4.71</v>
      </c>
      <c r="J37" s="29">
        <v>70.099999999999994</v>
      </c>
      <c r="K37" s="28"/>
      <c r="L37" s="31"/>
      <c r="M37" s="39"/>
      <c r="N37" s="35"/>
      <c r="O37" s="35"/>
      <c r="P37" s="35"/>
      <c r="Q37" s="35"/>
      <c r="R37" s="35"/>
      <c r="S37" s="40"/>
      <c r="T37" s="72">
        <v>8000</v>
      </c>
      <c r="U37" s="73">
        <v>78.400000000000006</v>
      </c>
      <c r="V37" s="73">
        <v>85.4</v>
      </c>
      <c r="W37" s="75">
        <v>270</v>
      </c>
      <c r="X37" s="75">
        <v>76.2</v>
      </c>
      <c r="Y37" s="75">
        <v>0.33</v>
      </c>
      <c r="Z37" s="73">
        <v>65</v>
      </c>
      <c r="AA37" s="75">
        <v>0.44</v>
      </c>
      <c r="AB37" s="73">
        <v>25</v>
      </c>
      <c r="AC37" s="76">
        <v>140</v>
      </c>
      <c r="AD37" s="112">
        <v>270</v>
      </c>
      <c r="AE37" s="116">
        <v>1.071</v>
      </c>
      <c r="AF37" s="124">
        <v>1.0049999999999999</v>
      </c>
      <c r="AG37" s="113">
        <v>1</v>
      </c>
      <c r="AH37" s="114">
        <v>76.2</v>
      </c>
    </row>
    <row r="38" spans="1:34" s="4" customFormat="1" ht="17.5" x14ac:dyDescent="0.35">
      <c r="A38" s="141">
        <v>865</v>
      </c>
      <c r="B38" s="27">
        <v>73.951360000000008</v>
      </c>
      <c r="C38" s="28"/>
      <c r="D38" s="29">
        <v>341.14507797708808</v>
      </c>
      <c r="E38" s="29"/>
      <c r="F38" s="30">
        <v>17</v>
      </c>
      <c r="G38" s="30">
        <v>76</v>
      </c>
      <c r="H38" s="30">
        <v>7</v>
      </c>
      <c r="I38" s="35">
        <v>4.8</v>
      </c>
      <c r="J38" s="29">
        <v>68.78</v>
      </c>
      <c r="K38" s="28"/>
      <c r="L38" s="31"/>
      <c r="M38" s="39"/>
      <c r="N38" s="35"/>
      <c r="O38" s="35"/>
      <c r="P38" s="35"/>
      <c r="Q38" s="35"/>
      <c r="R38" s="35"/>
      <c r="S38" s="40"/>
      <c r="T38" s="72">
        <v>8000</v>
      </c>
      <c r="U38" s="73">
        <v>78.3</v>
      </c>
      <c r="V38" s="73">
        <v>85.3</v>
      </c>
      <c r="W38" s="75">
        <v>296</v>
      </c>
      <c r="X38" s="75">
        <v>76.099999999999994</v>
      </c>
      <c r="Y38" s="75">
        <v>0.33</v>
      </c>
      <c r="Z38" s="73">
        <v>65.7</v>
      </c>
      <c r="AA38" s="75">
        <v>0.48</v>
      </c>
      <c r="AB38" s="73">
        <v>25</v>
      </c>
      <c r="AC38" s="76">
        <v>140</v>
      </c>
      <c r="AD38" s="112">
        <v>240</v>
      </c>
      <c r="AE38" s="116">
        <v>1.073</v>
      </c>
      <c r="AF38" s="124">
        <v>1.0049999999999999</v>
      </c>
      <c r="AG38" s="113">
        <v>1</v>
      </c>
      <c r="AH38" s="114">
        <v>76.099999999999994</v>
      </c>
    </row>
    <row r="39" spans="1:34" s="4" customFormat="1" ht="17.5" x14ac:dyDescent="0.35">
      <c r="A39" s="141">
        <v>866</v>
      </c>
      <c r="B39" s="27">
        <v>74.036214999999999</v>
      </c>
      <c r="C39" s="28"/>
      <c r="D39" s="29">
        <v>341.53652264547202</v>
      </c>
      <c r="E39" s="29"/>
      <c r="F39" s="30">
        <v>18</v>
      </c>
      <c r="G39" s="30">
        <v>75</v>
      </c>
      <c r="H39" s="30">
        <v>7</v>
      </c>
      <c r="I39" s="35">
        <v>4.8499999999999996</v>
      </c>
      <c r="J39" s="29">
        <v>69.12</v>
      </c>
      <c r="K39" s="28"/>
      <c r="L39" s="31"/>
      <c r="M39" s="39"/>
      <c r="N39" s="35"/>
      <c r="O39" s="35"/>
      <c r="P39" s="35"/>
      <c r="Q39" s="35"/>
      <c r="R39" s="35"/>
      <c r="S39" s="40"/>
      <c r="T39" s="72">
        <v>8000</v>
      </c>
      <c r="U39" s="73">
        <v>78.400000000000006</v>
      </c>
      <c r="V39" s="73">
        <v>85.4</v>
      </c>
      <c r="W39" s="75">
        <v>300</v>
      </c>
      <c r="X39" s="75">
        <v>75.400000000000006</v>
      </c>
      <c r="Y39" s="75">
        <v>0.33</v>
      </c>
      <c r="Z39" s="73">
        <v>65.099999999999994</v>
      </c>
      <c r="AA39" s="75">
        <v>0.42</v>
      </c>
      <c r="AB39" s="73">
        <v>25</v>
      </c>
      <c r="AC39" s="76">
        <v>140</v>
      </c>
      <c r="AD39" s="112">
        <v>265</v>
      </c>
      <c r="AE39" s="116">
        <v>1.075</v>
      </c>
      <c r="AF39" s="124">
        <v>1.0049999999999999</v>
      </c>
      <c r="AG39" s="113">
        <v>1</v>
      </c>
      <c r="AH39" s="114">
        <v>75.400000000000006</v>
      </c>
    </row>
    <row r="40" spans="1:34" s="4" customFormat="1" ht="17.5" x14ac:dyDescent="0.35">
      <c r="A40" s="141">
        <v>867</v>
      </c>
      <c r="B40" s="27">
        <v>74.330536000000009</v>
      </c>
      <c r="C40" s="28"/>
      <c r="D40" s="29">
        <v>342.89425508602886</v>
      </c>
      <c r="E40" s="29"/>
      <c r="F40" s="30">
        <v>17</v>
      </c>
      <c r="G40" s="30">
        <v>75</v>
      </c>
      <c r="H40" s="30">
        <v>8</v>
      </c>
      <c r="I40" s="35">
        <v>4.68</v>
      </c>
      <c r="J40" s="29">
        <v>70.11</v>
      </c>
      <c r="K40" s="28"/>
      <c r="L40" s="31"/>
      <c r="M40" s="39"/>
      <c r="N40" s="35"/>
      <c r="O40" s="35"/>
      <c r="P40" s="35"/>
      <c r="Q40" s="35"/>
      <c r="R40" s="35"/>
      <c r="S40" s="40"/>
      <c r="T40" s="72">
        <v>8000</v>
      </c>
      <c r="U40" s="73">
        <v>78.5</v>
      </c>
      <c r="V40" s="73">
        <v>85.5</v>
      </c>
      <c r="W40" s="75">
        <v>285</v>
      </c>
      <c r="X40" s="75">
        <v>74.099999999999994</v>
      </c>
      <c r="Y40" s="75">
        <v>0.33</v>
      </c>
      <c r="Z40" s="73">
        <v>65.099999999999994</v>
      </c>
      <c r="AA40" s="75">
        <v>0.4</v>
      </c>
      <c r="AB40" s="73">
        <v>25</v>
      </c>
      <c r="AC40" s="76">
        <v>140</v>
      </c>
      <c r="AD40" s="112">
        <v>270</v>
      </c>
      <c r="AE40" s="116">
        <v>1.0720000000000001</v>
      </c>
      <c r="AF40" s="124">
        <v>1.0049999999999999</v>
      </c>
      <c r="AG40" s="113">
        <v>1</v>
      </c>
      <c r="AH40" s="114">
        <v>74.099999999999994</v>
      </c>
    </row>
    <row r="41" spans="1:34" s="4" customFormat="1" ht="17.5" x14ac:dyDescent="0.35">
      <c r="A41" s="141">
        <v>868</v>
      </c>
      <c r="B41" s="27">
        <v>74.454486000000003</v>
      </c>
      <c r="C41" s="28"/>
      <c r="D41" s="29">
        <v>343.46604893018889</v>
      </c>
      <c r="E41" s="29"/>
      <c r="F41" s="30">
        <v>18</v>
      </c>
      <c r="G41" s="30">
        <v>76</v>
      </c>
      <c r="H41" s="30">
        <v>6</v>
      </c>
      <c r="I41" s="35">
        <v>4.57</v>
      </c>
      <c r="J41" s="29">
        <v>70.209999999999994</v>
      </c>
      <c r="K41" s="28"/>
      <c r="L41" s="31"/>
      <c r="M41" s="39"/>
      <c r="N41" s="35"/>
      <c r="O41" s="35"/>
      <c r="P41" s="35"/>
      <c r="Q41" s="35"/>
      <c r="R41" s="35"/>
      <c r="S41" s="40"/>
      <c r="T41" s="72">
        <v>8000</v>
      </c>
      <c r="U41" s="73">
        <v>78.5</v>
      </c>
      <c r="V41" s="73">
        <v>85.5</v>
      </c>
      <c r="W41" s="75">
        <v>285</v>
      </c>
      <c r="X41" s="75">
        <v>76</v>
      </c>
      <c r="Y41" s="75">
        <v>0.33</v>
      </c>
      <c r="Z41" s="73">
        <v>65</v>
      </c>
      <c r="AA41" s="75">
        <v>0.41</v>
      </c>
      <c r="AB41" s="73">
        <v>25</v>
      </c>
      <c r="AC41" s="76">
        <v>140</v>
      </c>
      <c r="AD41" s="112">
        <v>240</v>
      </c>
      <c r="AE41" s="116">
        <v>1.073</v>
      </c>
      <c r="AF41" s="124">
        <v>1.006</v>
      </c>
      <c r="AG41" s="113">
        <v>1</v>
      </c>
      <c r="AH41" s="114">
        <v>76</v>
      </c>
    </row>
    <row r="42" spans="1:34" s="4" customFormat="1" ht="17.5" x14ac:dyDescent="0.35">
      <c r="A42" s="141">
        <v>869</v>
      </c>
      <c r="B42" s="27">
        <v>74.378141999999997</v>
      </c>
      <c r="C42" s="28"/>
      <c r="D42" s="29">
        <v>343.11386636271362</v>
      </c>
      <c r="E42" s="29"/>
      <c r="F42" s="30">
        <v>17</v>
      </c>
      <c r="G42" s="30">
        <v>76</v>
      </c>
      <c r="H42" s="30">
        <v>7</v>
      </c>
      <c r="I42" s="35">
        <v>4.57</v>
      </c>
      <c r="J42" s="29">
        <v>69.989999999999995</v>
      </c>
      <c r="K42" s="28"/>
      <c r="L42" s="31"/>
      <c r="M42" s="39"/>
      <c r="N42" s="35"/>
      <c r="O42" s="35"/>
      <c r="P42" s="35"/>
      <c r="Q42" s="35"/>
      <c r="R42" s="35"/>
      <c r="S42" s="40"/>
      <c r="T42" s="72">
        <v>8000</v>
      </c>
      <c r="U42" s="73">
        <v>78.5</v>
      </c>
      <c r="V42" s="73">
        <v>85.5</v>
      </c>
      <c r="W42" s="75">
        <v>275</v>
      </c>
      <c r="X42" s="75">
        <v>77.5</v>
      </c>
      <c r="Y42" s="75">
        <v>0.33</v>
      </c>
      <c r="Z42" s="73">
        <v>65.3</v>
      </c>
      <c r="AA42" s="75">
        <v>0.42</v>
      </c>
      <c r="AB42" s="73">
        <v>25</v>
      </c>
      <c r="AC42" s="76">
        <v>140</v>
      </c>
      <c r="AD42" s="112">
        <v>233</v>
      </c>
      <c r="AE42" s="116">
        <v>1.07</v>
      </c>
      <c r="AF42" s="124">
        <v>1.0049999999999999</v>
      </c>
      <c r="AG42" s="113">
        <v>1</v>
      </c>
      <c r="AH42" s="114">
        <v>77.5</v>
      </c>
    </row>
    <row r="43" spans="1:34" s="4" customFormat="1" ht="17.5" x14ac:dyDescent="0.35">
      <c r="A43" s="141">
        <v>870</v>
      </c>
      <c r="B43" s="27">
        <v>74.082901000000007</v>
      </c>
      <c r="C43" s="28"/>
      <c r="D43" s="29">
        <v>341.75188986942084</v>
      </c>
      <c r="E43" s="29"/>
      <c r="F43" s="30">
        <v>18</v>
      </c>
      <c r="G43" s="30">
        <v>76</v>
      </c>
      <c r="H43" s="30">
        <v>6</v>
      </c>
      <c r="I43" s="35">
        <v>4.79</v>
      </c>
      <c r="J43" s="29">
        <v>70.28</v>
      </c>
      <c r="K43" s="28"/>
      <c r="L43" s="31"/>
      <c r="M43" s="39"/>
      <c r="N43" s="35"/>
      <c r="O43" s="35"/>
      <c r="P43" s="35"/>
      <c r="Q43" s="35"/>
      <c r="R43" s="35"/>
      <c r="S43" s="40"/>
      <c r="T43" s="72">
        <v>8000</v>
      </c>
      <c r="U43" s="73">
        <v>78.400000000000006</v>
      </c>
      <c r="V43" s="73">
        <v>85.5</v>
      </c>
      <c r="W43" s="75">
        <v>295</v>
      </c>
      <c r="X43" s="75">
        <v>77.5</v>
      </c>
      <c r="Y43" s="75">
        <v>0.33</v>
      </c>
      <c r="Z43" s="73">
        <v>65.400000000000006</v>
      </c>
      <c r="AA43" s="75">
        <v>0.4</v>
      </c>
      <c r="AB43" s="73">
        <v>25</v>
      </c>
      <c r="AC43" s="76">
        <v>140</v>
      </c>
      <c r="AD43" s="112">
        <v>305</v>
      </c>
      <c r="AE43" s="116">
        <v>1.0740000000000001</v>
      </c>
      <c r="AF43" s="124">
        <v>1.0049999999999999</v>
      </c>
      <c r="AG43" s="113">
        <v>1</v>
      </c>
      <c r="AH43" s="114">
        <v>77.5</v>
      </c>
    </row>
    <row r="44" spans="1:34" s="4" customFormat="1" ht="17.5" hidden="1" x14ac:dyDescent="0.35">
      <c r="A44" s="141">
        <v>871</v>
      </c>
      <c r="B44" s="27">
        <v>74.583759000000001</v>
      </c>
      <c r="C44" s="28"/>
      <c r="D44" s="29">
        <v>344.06239830990728</v>
      </c>
      <c r="E44" s="29"/>
      <c r="F44" s="30">
        <v>18</v>
      </c>
      <c r="G44" s="30">
        <v>75</v>
      </c>
      <c r="H44" s="30">
        <v>7</v>
      </c>
      <c r="I44" s="35">
        <v>4.49</v>
      </c>
      <c r="J44" s="29">
        <v>70.680000000000007</v>
      </c>
      <c r="K44" s="28"/>
      <c r="L44" s="31"/>
      <c r="M44" s="39"/>
      <c r="N44" s="35"/>
      <c r="O44" s="35"/>
      <c r="P44" s="35"/>
      <c r="Q44" s="35"/>
      <c r="R44" s="35"/>
      <c r="S44" s="40"/>
      <c r="T44" s="72">
        <v>8000</v>
      </c>
      <c r="U44" s="73">
        <v>78.599999999999994</v>
      </c>
      <c r="V44" s="73">
        <v>85.4</v>
      </c>
      <c r="W44" s="75">
        <v>295</v>
      </c>
      <c r="X44" s="75">
        <v>76.099999999999994</v>
      </c>
      <c r="Y44" s="75">
        <v>0.33</v>
      </c>
      <c r="Z44" s="73">
        <v>65.2</v>
      </c>
      <c r="AA44" s="75">
        <v>0.4</v>
      </c>
      <c r="AB44" s="73">
        <v>25</v>
      </c>
      <c r="AC44" s="76">
        <v>140</v>
      </c>
      <c r="AD44" s="112">
        <v>295</v>
      </c>
      <c r="AE44" s="116">
        <v>1.071</v>
      </c>
      <c r="AF44" s="124">
        <v>1.0049999999999999</v>
      </c>
      <c r="AG44" s="113">
        <v>1</v>
      </c>
      <c r="AH44" s="114">
        <v>76.099999999999994</v>
      </c>
    </row>
    <row r="45" spans="1:34" s="4" customFormat="1" ht="17.5" hidden="1" x14ac:dyDescent="0.35">
      <c r="A45" s="141">
        <v>872</v>
      </c>
      <c r="B45" s="27">
        <v>74.301940000000002</v>
      </c>
      <c r="C45" s="28"/>
      <c r="D45" s="29">
        <v>342.76233885555206</v>
      </c>
      <c r="E45" s="29"/>
      <c r="F45" s="30">
        <v>17</v>
      </c>
      <c r="G45" s="30">
        <v>76</v>
      </c>
      <c r="H45" s="30">
        <v>7</v>
      </c>
      <c r="I45" s="35">
        <v>4.68</v>
      </c>
      <c r="J45" s="29">
        <v>71.010000000000005</v>
      </c>
      <c r="K45" s="28"/>
      <c r="L45" s="31"/>
      <c r="M45" s="39"/>
      <c r="N45" s="35"/>
      <c r="O45" s="35"/>
      <c r="P45" s="35"/>
      <c r="Q45" s="35"/>
      <c r="R45" s="35"/>
      <c r="S45" s="40"/>
      <c r="T45" s="72">
        <v>8000</v>
      </c>
      <c r="U45" s="73">
        <v>78.5</v>
      </c>
      <c r="V45" s="73">
        <v>85.4</v>
      </c>
      <c r="W45" s="75">
        <v>280</v>
      </c>
      <c r="X45" s="75">
        <v>76.2</v>
      </c>
      <c r="Y45" s="75">
        <v>0.33</v>
      </c>
      <c r="Z45" s="73">
        <v>65</v>
      </c>
      <c r="AA45" s="75">
        <v>0.41</v>
      </c>
      <c r="AB45" s="73">
        <v>25</v>
      </c>
      <c r="AC45" s="76">
        <v>140</v>
      </c>
      <c r="AD45" s="112">
        <v>250</v>
      </c>
      <c r="AE45" s="116">
        <v>1.075</v>
      </c>
      <c r="AF45" s="124">
        <v>1.0049999999999999</v>
      </c>
      <c r="AG45" s="113">
        <v>1</v>
      </c>
      <c r="AH45" s="114">
        <v>76.2</v>
      </c>
    </row>
    <row r="46" spans="1:34" s="4" customFormat="1" ht="17.5" hidden="1" x14ac:dyDescent="0.35">
      <c r="A46" s="141">
        <v>873</v>
      </c>
      <c r="B46" s="27">
        <v>74.240279999999998</v>
      </c>
      <c r="C46" s="28"/>
      <c r="D46" s="29">
        <v>342.477895060224</v>
      </c>
      <c r="E46" s="29"/>
      <c r="F46" s="30">
        <v>18</v>
      </c>
      <c r="G46" s="30">
        <v>75</v>
      </c>
      <c r="H46" s="30">
        <v>7</v>
      </c>
      <c r="I46" s="35">
        <v>4.5999999999999996</v>
      </c>
      <c r="J46" s="29">
        <v>69.98</v>
      </c>
      <c r="K46" s="28"/>
      <c r="L46" s="31"/>
      <c r="M46" s="39"/>
      <c r="N46" s="35"/>
      <c r="O46" s="35"/>
      <c r="P46" s="35"/>
      <c r="Q46" s="35"/>
      <c r="R46" s="35"/>
      <c r="S46" s="40"/>
      <c r="T46" s="72">
        <v>8000</v>
      </c>
      <c r="U46" s="73">
        <v>78.3</v>
      </c>
      <c r="V46" s="73">
        <v>85.3</v>
      </c>
      <c r="W46" s="75">
        <v>280</v>
      </c>
      <c r="X46" s="75">
        <v>76.8</v>
      </c>
      <c r="Y46" s="75">
        <v>0.33</v>
      </c>
      <c r="Z46" s="73">
        <v>65.099999999999994</v>
      </c>
      <c r="AA46" s="75">
        <v>0.39</v>
      </c>
      <c r="AB46" s="73">
        <v>25</v>
      </c>
      <c r="AC46" s="76">
        <v>140</v>
      </c>
      <c r="AD46" s="112">
        <v>260</v>
      </c>
      <c r="AE46" s="116">
        <v>1.0740000000000001</v>
      </c>
      <c r="AF46" s="124">
        <v>1.0049999999999999</v>
      </c>
      <c r="AG46" s="113">
        <v>1</v>
      </c>
      <c r="AH46" s="114">
        <v>76.8</v>
      </c>
    </row>
    <row r="47" spans="1:34" s="4" customFormat="1" ht="17.5" hidden="1" x14ac:dyDescent="0.35">
      <c r="A47" s="141">
        <v>874</v>
      </c>
      <c r="B47" s="27">
        <v>74.847754999999992</v>
      </c>
      <c r="C47" s="28"/>
      <c r="D47" s="29">
        <v>345.280238468704</v>
      </c>
      <c r="E47" s="29"/>
      <c r="F47" s="30">
        <v>17</v>
      </c>
      <c r="G47" s="30">
        <v>75</v>
      </c>
      <c r="H47" s="30">
        <v>8</v>
      </c>
      <c r="I47" s="35">
        <v>4.47</v>
      </c>
      <c r="J47" s="29">
        <v>69.28</v>
      </c>
      <c r="K47" s="28"/>
      <c r="L47" s="31"/>
      <c r="M47" s="39"/>
      <c r="N47" s="35"/>
      <c r="O47" s="35"/>
      <c r="P47" s="35"/>
      <c r="Q47" s="35"/>
      <c r="R47" s="35"/>
      <c r="S47" s="40"/>
      <c r="T47" s="72">
        <v>8000</v>
      </c>
      <c r="U47" s="77">
        <v>78.5</v>
      </c>
      <c r="V47" s="77">
        <v>85.5</v>
      </c>
      <c r="W47" s="73">
        <v>300</v>
      </c>
      <c r="X47" s="77">
        <v>77.099999999999994</v>
      </c>
      <c r="Y47" s="75">
        <v>0.33</v>
      </c>
      <c r="Z47" s="73">
        <v>65.599999999999994</v>
      </c>
      <c r="AA47" s="77">
        <v>0.45</v>
      </c>
      <c r="AB47" s="73">
        <v>25</v>
      </c>
      <c r="AC47" s="76">
        <v>140</v>
      </c>
      <c r="AD47" s="112">
        <v>265</v>
      </c>
      <c r="AE47" s="115">
        <v>1.075</v>
      </c>
      <c r="AF47" s="122">
        <v>1.0049999999999999</v>
      </c>
      <c r="AG47" s="113">
        <v>1</v>
      </c>
      <c r="AH47" s="123">
        <v>77.099999999999994</v>
      </c>
    </row>
    <row r="48" spans="1:34" s="4" customFormat="1" ht="17.5" hidden="1" x14ac:dyDescent="0.35">
      <c r="A48" s="141">
        <v>875</v>
      </c>
      <c r="B48" s="27">
        <v>74.594175000000007</v>
      </c>
      <c r="C48" s="28"/>
      <c r="D48" s="29">
        <v>344.11044836784004</v>
      </c>
      <c r="E48" s="29"/>
      <c r="F48" s="30">
        <v>18</v>
      </c>
      <c r="G48" s="30">
        <v>76</v>
      </c>
      <c r="H48" s="30">
        <v>6</v>
      </c>
      <c r="I48" s="35">
        <v>4.55</v>
      </c>
      <c r="J48" s="29">
        <v>69.78</v>
      </c>
      <c r="K48" s="28"/>
      <c r="L48" s="31"/>
      <c r="M48" s="39"/>
      <c r="N48" s="35"/>
      <c r="O48" s="35"/>
      <c r="P48" s="35"/>
      <c r="Q48" s="35"/>
      <c r="R48" s="35"/>
      <c r="S48" s="40"/>
      <c r="T48" s="72">
        <v>8000</v>
      </c>
      <c r="U48" s="77">
        <v>78.599999999999994</v>
      </c>
      <c r="V48" s="77">
        <v>85.4</v>
      </c>
      <c r="W48" s="73">
        <v>295</v>
      </c>
      <c r="X48" s="77">
        <v>77.099999999999994</v>
      </c>
      <c r="Y48" s="75">
        <v>0.33</v>
      </c>
      <c r="Z48" s="73">
        <v>65</v>
      </c>
      <c r="AA48" s="77">
        <v>0.44</v>
      </c>
      <c r="AB48" s="73">
        <v>25</v>
      </c>
      <c r="AC48" s="76">
        <v>140</v>
      </c>
      <c r="AD48" s="112">
        <v>270</v>
      </c>
      <c r="AE48" s="115">
        <v>1.07</v>
      </c>
      <c r="AF48" s="122">
        <v>1.006</v>
      </c>
      <c r="AG48" s="113">
        <v>1</v>
      </c>
      <c r="AH48" s="123">
        <v>77.099999999999994</v>
      </c>
    </row>
    <row r="49" spans="1:34" s="4" customFormat="1" ht="17.5" hidden="1" x14ac:dyDescent="0.35">
      <c r="A49" s="141">
        <v>876</v>
      </c>
      <c r="B49" s="27">
        <v>74.735634000000005</v>
      </c>
      <c r="C49" s="28"/>
      <c r="D49" s="29">
        <v>344.76301299390724</v>
      </c>
      <c r="E49" s="29"/>
      <c r="F49" s="30">
        <v>17</v>
      </c>
      <c r="G49" s="30">
        <v>76</v>
      </c>
      <c r="H49" s="30">
        <v>7</v>
      </c>
      <c r="I49" s="35">
        <v>4.54</v>
      </c>
      <c r="J49" s="29">
        <v>68.2</v>
      </c>
      <c r="K49" s="28"/>
      <c r="L49" s="31"/>
      <c r="M49" s="39"/>
      <c r="N49" s="35"/>
      <c r="O49" s="35"/>
      <c r="P49" s="35"/>
      <c r="Q49" s="35"/>
      <c r="R49" s="35"/>
      <c r="S49" s="40"/>
      <c r="T49" s="72">
        <v>8000</v>
      </c>
      <c r="U49" s="77">
        <v>78.5</v>
      </c>
      <c r="V49" s="77">
        <v>85.5</v>
      </c>
      <c r="W49" s="73">
        <v>300</v>
      </c>
      <c r="X49" s="77">
        <v>76</v>
      </c>
      <c r="Y49" s="75">
        <v>0.33</v>
      </c>
      <c r="Z49" s="73">
        <v>65</v>
      </c>
      <c r="AA49" s="77">
        <v>0.38</v>
      </c>
      <c r="AB49" s="73">
        <v>25</v>
      </c>
      <c r="AC49" s="76">
        <v>140</v>
      </c>
      <c r="AD49" s="112">
        <v>240</v>
      </c>
      <c r="AE49" s="115">
        <v>1.069</v>
      </c>
      <c r="AF49" s="122">
        <v>1.006</v>
      </c>
      <c r="AG49" s="113">
        <v>1</v>
      </c>
      <c r="AH49" s="123">
        <v>76</v>
      </c>
    </row>
    <row r="50" spans="1:34" s="4" customFormat="1" ht="17.5" hidden="1" x14ac:dyDescent="0.35">
      <c r="A50" s="141">
        <v>877</v>
      </c>
      <c r="B50" s="27">
        <v>74.446683999999991</v>
      </c>
      <c r="C50" s="28"/>
      <c r="D50" s="29">
        <v>343.43005751774723</v>
      </c>
      <c r="E50" s="29"/>
      <c r="F50" s="30">
        <v>18</v>
      </c>
      <c r="G50" s="30">
        <v>76</v>
      </c>
      <c r="H50" s="30">
        <v>6</v>
      </c>
      <c r="I50" s="35">
        <v>4.58</v>
      </c>
      <c r="J50" s="29">
        <v>70.22</v>
      </c>
      <c r="K50" s="28"/>
      <c r="L50" s="31"/>
      <c r="M50" s="39"/>
      <c r="N50" s="35"/>
      <c r="O50" s="35"/>
      <c r="P50" s="35"/>
      <c r="Q50" s="35"/>
      <c r="R50" s="35"/>
      <c r="S50" s="40"/>
      <c r="T50" s="72">
        <v>8000</v>
      </c>
      <c r="U50" s="77">
        <v>78.5</v>
      </c>
      <c r="V50" s="77">
        <v>85.5</v>
      </c>
      <c r="W50" s="73">
        <v>290</v>
      </c>
      <c r="X50" s="77">
        <v>77.5</v>
      </c>
      <c r="Y50" s="75">
        <v>0.33</v>
      </c>
      <c r="Z50" s="73">
        <v>65.2</v>
      </c>
      <c r="AA50" s="77">
        <v>0.41</v>
      </c>
      <c r="AB50" s="73">
        <v>25</v>
      </c>
      <c r="AC50" s="76">
        <v>140</v>
      </c>
      <c r="AD50" s="112">
        <v>265</v>
      </c>
      <c r="AE50" s="115">
        <v>1.0720000000000001</v>
      </c>
      <c r="AF50" s="122">
        <v>1.0049999999999999</v>
      </c>
      <c r="AG50" s="113">
        <v>1</v>
      </c>
      <c r="AH50" s="123">
        <v>77.5</v>
      </c>
    </row>
    <row r="51" spans="1:34" s="4" customFormat="1" ht="17.5" hidden="1" x14ac:dyDescent="0.35">
      <c r="A51" s="141">
        <v>878</v>
      </c>
      <c r="B51" s="27">
        <v>74.277650000000008</v>
      </c>
      <c r="C51" s="28"/>
      <c r="D51" s="29">
        <v>342.65028663712002</v>
      </c>
      <c r="E51" s="29"/>
      <c r="F51" s="30">
        <v>18</v>
      </c>
      <c r="G51" s="30">
        <v>76</v>
      </c>
      <c r="H51" s="30">
        <v>6</v>
      </c>
      <c r="I51" s="35">
        <v>4.6500000000000004</v>
      </c>
      <c r="J51" s="29">
        <v>71.2</v>
      </c>
      <c r="K51" s="28"/>
      <c r="L51" s="31"/>
      <c r="M51" s="39"/>
      <c r="N51" s="35"/>
      <c r="O51" s="35"/>
      <c r="P51" s="35"/>
      <c r="Q51" s="35"/>
      <c r="R51" s="35"/>
      <c r="S51" s="40"/>
      <c r="T51" s="72">
        <v>8000</v>
      </c>
      <c r="U51" s="77">
        <v>78.400000000000006</v>
      </c>
      <c r="V51" s="77">
        <v>85.4</v>
      </c>
      <c r="W51" s="73">
        <v>300</v>
      </c>
      <c r="X51" s="77">
        <v>76.099999999999994</v>
      </c>
      <c r="Y51" s="75">
        <v>0.33</v>
      </c>
      <c r="Z51" s="73">
        <v>65</v>
      </c>
      <c r="AA51" s="73">
        <v>0.39</v>
      </c>
      <c r="AB51" s="73">
        <v>25</v>
      </c>
      <c r="AC51" s="76">
        <v>140</v>
      </c>
      <c r="AD51" s="112">
        <v>270</v>
      </c>
      <c r="AE51" s="113">
        <v>1.071</v>
      </c>
      <c r="AF51" s="122">
        <v>1.0049999999999999</v>
      </c>
      <c r="AG51" s="113">
        <v>1</v>
      </c>
      <c r="AH51" s="123">
        <v>76.099999999999994</v>
      </c>
    </row>
    <row r="52" spans="1:34" s="4" customFormat="1" ht="17.5" hidden="1" x14ac:dyDescent="0.35">
      <c r="A52" s="141">
        <v>879</v>
      </c>
      <c r="B52" s="27">
        <v>74.310558</v>
      </c>
      <c r="C52" s="28"/>
      <c r="D52" s="29">
        <v>342.80209455824644</v>
      </c>
      <c r="E52" s="29"/>
      <c r="F52" s="30">
        <v>17</v>
      </c>
      <c r="G52" s="30">
        <v>75</v>
      </c>
      <c r="H52" s="30">
        <v>8</v>
      </c>
      <c r="I52" s="35">
        <v>4.62</v>
      </c>
      <c r="J52" s="29">
        <v>70.98</v>
      </c>
      <c r="K52" s="28"/>
      <c r="L52" s="31"/>
      <c r="M52" s="39"/>
      <c r="N52" s="35"/>
      <c r="O52" s="35"/>
      <c r="P52" s="35"/>
      <c r="Q52" s="35"/>
      <c r="R52" s="35"/>
      <c r="S52" s="40"/>
      <c r="T52" s="72">
        <v>8000</v>
      </c>
      <c r="U52" s="73">
        <v>78.5</v>
      </c>
      <c r="V52" s="77">
        <v>85.4</v>
      </c>
      <c r="W52" s="75">
        <v>295</v>
      </c>
      <c r="X52" s="75">
        <v>76.099999999999994</v>
      </c>
      <c r="Y52" s="75">
        <v>0.33</v>
      </c>
      <c r="Z52" s="73">
        <v>65.3</v>
      </c>
      <c r="AA52" s="75">
        <v>0.41</v>
      </c>
      <c r="AB52" s="73">
        <v>25</v>
      </c>
      <c r="AC52" s="76">
        <v>140</v>
      </c>
      <c r="AD52" s="112">
        <v>240</v>
      </c>
      <c r="AE52" s="116">
        <v>1.075</v>
      </c>
      <c r="AF52" s="124">
        <v>1.006</v>
      </c>
      <c r="AG52" s="113">
        <v>1</v>
      </c>
      <c r="AH52" s="114">
        <v>76.099999999999994</v>
      </c>
    </row>
    <row r="53" spans="1:34" s="4" customFormat="1" ht="17.5" hidden="1" x14ac:dyDescent="0.35">
      <c r="A53" s="141">
        <v>447</v>
      </c>
      <c r="B53" s="27">
        <v>74.316456000000002</v>
      </c>
      <c r="C53" s="28"/>
      <c r="D53" s="29">
        <v>342.8293026267649</v>
      </c>
      <c r="E53" s="29"/>
      <c r="F53" s="30">
        <v>18</v>
      </c>
      <c r="G53" s="30">
        <v>74</v>
      </c>
      <c r="H53" s="30">
        <v>9</v>
      </c>
      <c r="I53" s="35">
        <v>4.33</v>
      </c>
      <c r="J53" s="29">
        <v>69.989999999999995</v>
      </c>
      <c r="K53" s="28"/>
      <c r="L53" s="31"/>
      <c r="M53" s="39"/>
      <c r="N53" s="35"/>
      <c r="O53" s="35"/>
      <c r="P53" s="35"/>
      <c r="Q53" s="35"/>
      <c r="R53" s="35"/>
      <c r="S53" s="40"/>
      <c r="T53" s="72">
        <v>8000</v>
      </c>
      <c r="U53" s="73">
        <v>78.2</v>
      </c>
      <c r="V53" s="73">
        <v>85.2</v>
      </c>
      <c r="W53" s="75">
        <v>290</v>
      </c>
      <c r="X53" s="75">
        <v>75.400000000000006</v>
      </c>
      <c r="Y53" s="75">
        <v>0.33</v>
      </c>
      <c r="Z53" s="75">
        <v>65.099999999999994</v>
      </c>
      <c r="AA53" s="75">
        <v>0.48</v>
      </c>
      <c r="AB53" s="73">
        <v>25</v>
      </c>
      <c r="AC53" s="76">
        <v>140</v>
      </c>
      <c r="AD53" s="112">
        <v>265</v>
      </c>
      <c r="AE53" s="116">
        <v>1.0720000000000001</v>
      </c>
      <c r="AF53" s="124">
        <v>1.0049999999999999</v>
      </c>
      <c r="AG53" s="116">
        <v>1</v>
      </c>
      <c r="AH53" s="114">
        <v>75.400000000000006</v>
      </c>
    </row>
    <row r="54" spans="1:34" s="4" customFormat="1" ht="17.5" hidden="1" x14ac:dyDescent="0.35">
      <c r="A54" s="141">
        <v>448</v>
      </c>
      <c r="B54" s="27">
        <v>74.378600000000006</v>
      </c>
      <c r="C54" s="28"/>
      <c r="D54" s="29">
        <v>343.11597916288002</v>
      </c>
      <c r="E54" s="29"/>
      <c r="F54" s="30">
        <v>18</v>
      </c>
      <c r="G54" s="30">
        <v>74</v>
      </c>
      <c r="H54" s="30">
        <v>8</v>
      </c>
      <c r="I54" s="35">
        <v>4.25</v>
      </c>
      <c r="J54" s="29">
        <v>72.11</v>
      </c>
      <c r="K54" s="28"/>
      <c r="L54" s="31"/>
      <c r="M54" s="39"/>
      <c r="N54" s="35"/>
      <c r="O54" s="35"/>
      <c r="P54" s="35"/>
      <c r="Q54" s="35"/>
      <c r="R54" s="35"/>
      <c r="S54" s="40"/>
      <c r="T54" s="72">
        <v>8000</v>
      </c>
      <c r="U54" s="73">
        <v>78.3</v>
      </c>
      <c r="V54" s="73">
        <v>85.3</v>
      </c>
      <c r="W54" s="75">
        <v>290</v>
      </c>
      <c r="X54" s="75">
        <v>75.8</v>
      </c>
      <c r="Y54" s="75">
        <v>0.33</v>
      </c>
      <c r="Z54" s="75">
        <v>65.5</v>
      </c>
      <c r="AA54" s="75">
        <v>0.47</v>
      </c>
      <c r="AB54" s="73">
        <v>25</v>
      </c>
      <c r="AC54" s="76">
        <v>140</v>
      </c>
      <c r="AD54" s="112">
        <v>250</v>
      </c>
      <c r="AE54" s="116">
        <v>1.07</v>
      </c>
      <c r="AF54" s="124">
        <v>1.006</v>
      </c>
      <c r="AG54" s="116">
        <v>1</v>
      </c>
      <c r="AH54" s="114">
        <v>75.8</v>
      </c>
    </row>
    <row r="55" spans="1:34" s="4" customFormat="1" ht="17.5" hidden="1" x14ac:dyDescent="0.35">
      <c r="A55" s="141">
        <v>449</v>
      </c>
      <c r="B55" s="27">
        <v>74.324224000000001</v>
      </c>
      <c r="C55" s="28"/>
      <c r="D55" s="29">
        <v>342.86513719377922</v>
      </c>
      <c r="E55" s="29"/>
      <c r="F55" s="30">
        <v>19</v>
      </c>
      <c r="G55" s="30">
        <v>73</v>
      </c>
      <c r="H55" s="30">
        <v>8</v>
      </c>
      <c r="I55" s="35">
        <v>4.32</v>
      </c>
      <c r="J55" s="29">
        <v>73.010000000000005</v>
      </c>
      <c r="K55" s="28"/>
      <c r="L55" s="31"/>
      <c r="M55" s="39"/>
      <c r="N55" s="35"/>
      <c r="O55" s="35"/>
      <c r="P55" s="35"/>
      <c r="Q55" s="35"/>
      <c r="R55" s="35"/>
      <c r="S55" s="40"/>
      <c r="T55" s="72">
        <v>8000</v>
      </c>
      <c r="U55" s="73">
        <v>78.400000000000006</v>
      </c>
      <c r="V55" s="73">
        <v>85.4</v>
      </c>
      <c r="W55" s="75">
        <v>315</v>
      </c>
      <c r="X55" s="75">
        <v>75.599999999999994</v>
      </c>
      <c r="Y55" s="75">
        <v>0.33</v>
      </c>
      <c r="Z55" s="75">
        <v>65.2</v>
      </c>
      <c r="AA55" s="75">
        <v>0.45</v>
      </c>
      <c r="AB55" s="73">
        <v>25</v>
      </c>
      <c r="AC55" s="76">
        <v>140</v>
      </c>
      <c r="AD55" s="112">
        <v>245</v>
      </c>
      <c r="AE55" s="115">
        <v>1.0740000000000001</v>
      </c>
      <c r="AF55" s="124">
        <v>1.0049999999999999</v>
      </c>
      <c r="AG55" s="116">
        <v>1</v>
      </c>
      <c r="AH55" s="114">
        <v>75.599999999999994</v>
      </c>
    </row>
    <row r="56" spans="1:34" s="4" customFormat="1" ht="17.5" hidden="1" x14ac:dyDescent="0.35">
      <c r="A56" s="141">
        <v>450</v>
      </c>
      <c r="B56" s="27">
        <v>74.316456000000002</v>
      </c>
      <c r="C56" s="28"/>
      <c r="D56" s="29">
        <v>342.8293026267649</v>
      </c>
      <c r="E56" s="29"/>
      <c r="F56" s="30">
        <v>19</v>
      </c>
      <c r="G56" s="30">
        <v>74</v>
      </c>
      <c r="H56" s="30">
        <v>8</v>
      </c>
      <c r="I56" s="35">
        <v>4.33</v>
      </c>
      <c r="J56" s="29">
        <v>72.989999999999995</v>
      </c>
      <c r="K56" s="28"/>
      <c r="L56" s="31"/>
      <c r="M56" s="39"/>
      <c r="N56" s="35"/>
      <c r="O56" s="35"/>
      <c r="P56" s="35"/>
      <c r="Q56" s="35"/>
      <c r="R56" s="35"/>
      <c r="S56" s="40"/>
      <c r="T56" s="72">
        <v>8000</v>
      </c>
      <c r="U56" s="73">
        <v>78.2</v>
      </c>
      <c r="V56" s="73">
        <v>85.3</v>
      </c>
      <c r="W56" s="75">
        <v>275</v>
      </c>
      <c r="X56" s="75">
        <v>75.7</v>
      </c>
      <c r="Y56" s="75">
        <v>0.33</v>
      </c>
      <c r="Z56" s="75">
        <v>65</v>
      </c>
      <c r="AA56" s="75">
        <v>0.43</v>
      </c>
      <c r="AB56" s="73">
        <v>25</v>
      </c>
      <c r="AC56" s="76">
        <v>140</v>
      </c>
      <c r="AD56" s="112">
        <v>235</v>
      </c>
      <c r="AE56" s="115">
        <v>1.07</v>
      </c>
      <c r="AF56" s="124">
        <v>1.004</v>
      </c>
      <c r="AG56" s="116">
        <v>1</v>
      </c>
      <c r="AH56" s="114">
        <v>75.7</v>
      </c>
    </row>
    <row r="57" spans="1:34" s="4" customFormat="1" ht="17.5" hidden="1" x14ac:dyDescent="0.35">
      <c r="A57" s="141">
        <v>451</v>
      </c>
      <c r="B57" s="27">
        <v>74.333792000000003</v>
      </c>
      <c r="C57" s="28"/>
      <c r="D57" s="29">
        <v>342.90927534223368</v>
      </c>
      <c r="E57" s="29"/>
      <c r="F57" s="30">
        <v>18</v>
      </c>
      <c r="G57" s="30">
        <v>73</v>
      </c>
      <c r="H57" s="30">
        <v>9</v>
      </c>
      <c r="I57" s="35">
        <v>4.32</v>
      </c>
      <c r="J57" s="29">
        <v>70.25</v>
      </c>
      <c r="K57" s="28"/>
      <c r="L57" s="31"/>
      <c r="M57" s="39"/>
      <c r="N57" s="35"/>
      <c r="O57" s="35"/>
      <c r="P57" s="35"/>
      <c r="Q57" s="35"/>
      <c r="R57" s="35"/>
      <c r="S57" s="40"/>
      <c r="T57" s="72">
        <v>8000</v>
      </c>
      <c r="U57" s="73">
        <v>78.400000000000006</v>
      </c>
      <c r="V57" s="73">
        <v>85.2</v>
      </c>
      <c r="W57" s="75">
        <v>290</v>
      </c>
      <c r="X57" s="75">
        <v>76.2</v>
      </c>
      <c r="Y57" s="75">
        <v>0.33</v>
      </c>
      <c r="Z57" s="75">
        <v>65.3</v>
      </c>
      <c r="AA57" s="75">
        <v>0.43</v>
      </c>
      <c r="AB57" s="73">
        <v>25</v>
      </c>
      <c r="AC57" s="76">
        <v>140</v>
      </c>
      <c r="AD57" s="112">
        <v>270</v>
      </c>
      <c r="AE57" s="115">
        <v>1.0720000000000001</v>
      </c>
      <c r="AF57" s="124">
        <v>1.0049999999999999</v>
      </c>
      <c r="AG57" s="116">
        <v>1</v>
      </c>
      <c r="AH57" s="114">
        <v>76.2</v>
      </c>
    </row>
    <row r="58" spans="1:34" s="4" customFormat="1" ht="17.5" hidden="1" x14ac:dyDescent="0.35">
      <c r="A58" s="141">
        <v>452</v>
      </c>
      <c r="B58" s="27">
        <v>74.297321999999994</v>
      </c>
      <c r="C58" s="28"/>
      <c r="D58" s="29">
        <v>342.74103555605768</v>
      </c>
      <c r="E58" s="29"/>
      <c r="F58" s="30">
        <v>18</v>
      </c>
      <c r="G58" s="30">
        <v>74</v>
      </c>
      <c r="H58" s="30">
        <v>9</v>
      </c>
      <c r="I58" s="35">
        <v>4.33</v>
      </c>
      <c r="J58" s="29">
        <v>71.22</v>
      </c>
      <c r="K58" s="28"/>
      <c r="L58" s="31"/>
      <c r="M58" s="39"/>
      <c r="N58" s="35"/>
      <c r="O58" s="35"/>
      <c r="P58" s="35"/>
      <c r="Q58" s="35"/>
      <c r="R58" s="35"/>
      <c r="S58" s="40"/>
      <c r="T58" s="72">
        <v>8000</v>
      </c>
      <c r="U58" s="73">
        <v>78.400000000000006</v>
      </c>
      <c r="V58" s="73">
        <v>85.4</v>
      </c>
      <c r="W58" s="75">
        <v>285</v>
      </c>
      <c r="X58" s="75">
        <v>76.8</v>
      </c>
      <c r="Y58" s="75">
        <v>0.33</v>
      </c>
      <c r="Z58" s="75">
        <v>65</v>
      </c>
      <c r="AA58" s="75">
        <v>0.42</v>
      </c>
      <c r="AB58" s="73">
        <v>25</v>
      </c>
      <c r="AC58" s="76">
        <v>140</v>
      </c>
      <c r="AD58" s="112">
        <v>240</v>
      </c>
      <c r="AE58" s="113">
        <v>1.075</v>
      </c>
      <c r="AF58" s="124">
        <v>1.0049999999999999</v>
      </c>
      <c r="AG58" s="116">
        <v>1</v>
      </c>
      <c r="AH58" s="114">
        <v>76.8</v>
      </c>
    </row>
    <row r="59" spans="1:34" s="4" customFormat="1" ht="17.5" hidden="1" x14ac:dyDescent="0.35">
      <c r="A59" s="141">
        <v>453</v>
      </c>
      <c r="B59" s="27">
        <v>74.285384000000008</v>
      </c>
      <c r="C59" s="28"/>
      <c r="D59" s="29">
        <v>342.68596435870728</v>
      </c>
      <c r="E59" s="29"/>
      <c r="F59" s="30">
        <v>19</v>
      </c>
      <c r="G59" s="30">
        <v>74</v>
      </c>
      <c r="H59" s="30">
        <v>9</v>
      </c>
      <c r="I59" s="35">
        <v>4.37</v>
      </c>
      <c r="J59" s="29">
        <v>70.38</v>
      </c>
      <c r="K59" s="28"/>
      <c r="L59" s="31"/>
      <c r="M59" s="43"/>
      <c r="N59" s="44"/>
      <c r="O59" s="44"/>
      <c r="P59" s="44"/>
      <c r="Q59" s="44"/>
      <c r="R59" s="44"/>
      <c r="S59" s="45"/>
      <c r="T59" s="72">
        <v>8000</v>
      </c>
      <c r="U59" s="73">
        <v>78.3</v>
      </c>
      <c r="V59" s="73">
        <v>85.3</v>
      </c>
      <c r="W59" s="75">
        <v>280</v>
      </c>
      <c r="X59" s="75">
        <v>76.2</v>
      </c>
      <c r="Y59" s="75">
        <v>0.33</v>
      </c>
      <c r="Z59" s="75">
        <v>65</v>
      </c>
      <c r="AA59" s="75">
        <v>0.4</v>
      </c>
      <c r="AB59" s="73">
        <v>25</v>
      </c>
      <c r="AC59" s="76">
        <v>140</v>
      </c>
      <c r="AD59" s="112">
        <v>233</v>
      </c>
      <c r="AE59" s="116">
        <v>1.071</v>
      </c>
      <c r="AF59" s="124">
        <v>1.004</v>
      </c>
      <c r="AG59" s="116">
        <v>1</v>
      </c>
      <c r="AH59" s="114">
        <v>76.2</v>
      </c>
    </row>
    <row r="60" spans="1:34" s="4" customFormat="1" ht="17.5" hidden="1" x14ac:dyDescent="0.35">
      <c r="A60" s="141">
        <v>454</v>
      </c>
      <c r="B60" s="27">
        <v>74.435290000000009</v>
      </c>
      <c r="C60" s="28"/>
      <c r="D60" s="29">
        <v>343.37749584723213</v>
      </c>
      <c r="E60" s="29"/>
      <c r="F60" s="30">
        <v>18</v>
      </c>
      <c r="G60" s="30">
        <v>74</v>
      </c>
      <c r="H60" s="30">
        <v>8</v>
      </c>
      <c r="I60" s="35">
        <v>4.1399999999999997</v>
      </c>
      <c r="J60" s="29">
        <v>69.89</v>
      </c>
      <c r="K60" s="28"/>
      <c r="L60" s="31"/>
      <c r="M60" s="43"/>
      <c r="N60" s="44"/>
      <c r="O60" s="44"/>
      <c r="P60" s="44"/>
      <c r="Q60" s="44"/>
      <c r="R60" s="44"/>
      <c r="S60" s="45"/>
      <c r="T60" s="72">
        <v>8000</v>
      </c>
      <c r="U60" s="73">
        <v>78.5</v>
      </c>
      <c r="V60" s="73">
        <v>85.5</v>
      </c>
      <c r="W60" s="75">
        <v>280</v>
      </c>
      <c r="X60" s="75">
        <v>76.400000000000006</v>
      </c>
      <c r="Y60" s="75">
        <v>0.33</v>
      </c>
      <c r="Z60" s="75">
        <v>65.400000000000006</v>
      </c>
      <c r="AA60" s="75">
        <v>0.42</v>
      </c>
      <c r="AB60" s="73">
        <v>25</v>
      </c>
      <c r="AC60" s="76">
        <v>140</v>
      </c>
      <c r="AD60" s="112">
        <v>250</v>
      </c>
      <c r="AE60" s="116">
        <v>1.069</v>
      </c>
      <c r="AF60" s="124">
        <v>1.0049999999999999</v>
      </c>
      <c r="AG60" s="116">
        <v>1</v>
      </c>
      <c r="AH60" s="114">
        <v>76.400000000000006</v>
      </c>
    </row>
    <row r="61" spans="1:34" s="4" customFormat="1" ht="17.5" hidden="1" x14ac:dyDescent="0.35">
      <c r="A61" s="141">
        <v>455</v>
      </c>
      <c r="B61" s="27">
        <v>74.390513999999996</v>
      </c>
      <c r="C61" s="28"/>
      <c r="D61" s="29">
        <v>343.17093964581125</v>
      </c>
      <c r="E61" s="29"/>
      <c r="F61" s="30">
        <v>19</v>
      </c>
      <c r="G61" s="30">
        <v>73</v>
      </c>
      <c r="H61" s="30">
        <v>8</v>
      </c>
      <c r="I61" s="35">
        <v>4.21</v>
      </c>
      <c r="J61" s="29">
        <v>70.11</v>
      </c>
      <c r="K61" s="28"/>
      <c r="L61" s="31"/>
      <c r="M61" s="43"/>
      <c r="N61" s="44"/>
      <c r="O61" s="44"/>
      <c r="P61" s="44"/>
      <c r="Q61" s="44"/>
      <c r="R61" s="44"/>
      <c r="S61" s="45"/>
      <c r="T61" s="72">
        <v>8000</v>
      </c>
      <c r="U61" s="73">
        <v>78.099999999999994</v>
      </c>
      <c r="V61" s="73">
        <v>85.3</v>
      </c>
      <c r="W61" s="75">
        <v>275</v>
      </c>
      <c r="X61" s="75">
        <v>76.599999999999994</v>
      </c>
      <c r="Y61" s="75">
        <v>0.33</v>
      </c>
      <c r="Z61" s="75">
        <v>65.099999999999994</v>
      </c>
      <c r="AA61" s="75">
        <v>0.42</v>
      </c>
      <c r="AB61" s="73">
        <v>25</v>
      </c>
      <c r="AC61" s="76">
        <v>140</v>
      </c>
      <c r="AD61" s="112">
        <v>250</v>
      </c>
      <c r="AE61" s="116">
        <v>1.0720000000000001</v>
      </c>
      <c r="AF61" s="124">
        <v>1.0049999999999999</v>
      </c>
      <c r="AG61" s="116">
        <v>1</v>
      </c>
      <c r="AH61" s="114">
        <v>76.599999999999994</v>
      </c>
    </row>
    <row r="62" spans="1:34" s="4" customFormat="1" ht="17.5" hidden="1" x14ac:dyDescent="0.35">
      <c r="A62" s="141">
        <v>456</v>
      </c>
      <c r="B62" s="27">
        <v>74.312854000000002</v>
      </c>
      <c r="C62" s="28"/>
      <c r="D62" s="29">
        <v>342.81268623768329</v>
      </c>
      <c r="E62" s="29"/>
      <c r="F62" s="30">
        <v>19</v>
      </c>
      <c r="G62" s="30">
        <v>73</v>
      </c>
      <c r="H62" s="30">
        <v>8</v>
      </c>
      <c r="I62" s="35">
        <v>4.3099999999999996</v>
      </c>
      <c r="J62" s="29">
        <v>71.22</v>
      </c>
      <c r="K62" s="28"/>
      <c r="L62" s="31"/>
      <c r="M62" s="43"/>
      <c r="N62" s="44"/>
      <c r="O62" s="44"/>
      <c r="P62" s="44"/>
      <c r="Q62" s="44"/>
      <c r="R62" s="44"/>
      <c r="S62" s="45"/>
      <c r="T62" s="72">
        <v>8000</v>
      </c>
      <c r="U62" s="73">
        <v>78.2</v>
      </c>
      <c r="V62" s="73">
        <v>85.1</v>
      </c>
      <c r="W62" s="75">
        <v>280</v>
      </c>
      <c r="X62" s="75">
        <v>76.7</v>
      </c>
      <c r="Y62" s="75">
        <v>0.33</v>
      </c>
      <c r="Z62" s="75">
        <v>65.3</v>
      </c>
      <c r="AA62" s="75">
        <v>0.41</v>
      </c>
      <c r="AB62" s="73">
        <v>25</v>
      </c>
      <c r="AC62" s="76">
        <v>140</v>
      </c>
      <c r="AD62" s="112">
        <v>305</v>
      </c>
      <c r="AE62" s="116">
        <v>1.07</v>
      </c>
      <c r="AF62" s="124">
        <v>1.0049999999999999</v>
      </c>
      <c r="AG62" s="116">
        <v>1</v>
      </c>
      <c r="AH62" s="114">
        <v>76.7</v>
      </c>
    </row>
    <row r="63" spans="1:34" s="4" customFormat="1" ht="17.5" hidden="1" x14ac:dyDescent="0.35">
      <c r="A63" s="141">
        <v>457</v>
      </c>
      <c r="B63" s="27">
        <v>74.302716000000004</v>
      </c>
      <c r="C63" s="28"/>
      <c r="D63" s="29">
        <v>342.76591862177287</v>
      </c>
      <c r="E63" s="33"/>
      <c r="F63" s="30">
        <v>18</v>
      </c>
      <c r="G63" s="30">
        <v>74</v>
      </c>
      <c r="H63" s="30">
        <v>9</v>
      </c>
      <c r="I63" s="35">
        <v>4.3600000000000003</v>
      </c>
      <c r="J63" s="29">
        <v>72.819999999999993</v>
      </c>
      <c r="K63" s="28"/>
      <c r="L63" s="31"/>
      <c r="M63" s="43"/>
      <c r="N63" s="44"/>
      <c r="O63" s="44"/>
      <c r="P63" s="44"/>
      <c r="Q63" s="44"/>
      <c r="R63" s="44"/>
      <c r="S63" s="45"/>
      <c r="T63" s="72">
        <v>8000</v>
      </c>
      <c r="U63" s="73">
        <v>78.400000000000006</v>
      </c>
      <c r="V63" s="73">
        <v>85.2</v>
      </c>
      <c r="W63" s="75">
        <v>285</v>
      </c>
      <c r="X63" s="75">
        <v>76.5</v>
      </c>
      <c r="Y63" s="75">
        <v>0.33</v>
      </c>
      <c r="Z63" s="75">
        <v>65</v>
      </c>
      <c r="AA63" s="75">
        <v>0.43</v>
      </c>
      <c r="AB63" s="73">
        <v>25</v>
      </c>
      <c r="AC63" s="76">
        <v>140</v>
      </c>
      <c r="AD63" s="112">
        <v>300</v>
      </c>
      <c r="AE63" s="116">
        <v>1.0740000000000001</v>
      </c>
      <c r="AF63" s="124">
        <v>1.0049999999999999</v>
      </c>
      <c r="AG63" s="116">
        <v>1</v>
      </c>
      <c r="AH63" s="114">
        <v>76.5</v>
      </c>
    </row>
    <row r="64" spans="1:34" s="4" customFormat="1" ht="17.5" hidden="1" x14ac:dyDescent="0.35">
      <c r="A64" s="141">
        <v>458</v>
      </c>
      <c r="B64" s="27">
        <v>74.337957000000003</v>
      </c>
      <c r="C64" s="28"/>
      <c r="D64" s="29">
        <v>342.92848890706563</v>
      </c>
      <c r="E64" s="33"/>
      <c r="F64" s="30">
        <v>19</v>
      </c>
      <c r="G64" s="30">
        <v>73</v>
      </c>
      <c r="H64" s="30">
        <v>8</v>
      </c>
      <c r="I64" s="35">
        <v>4.29</v>
      </c>
      <c r="J64" s="29">
        <v>72.25</v>
      </c>
      <c r="K64" s="28"/>
      <c r="L64" s="31"/>
      <c r="M64" s="43"/>
      <c r="N64" s="44"/>
      <c r="O64" s="44"/>
      <c r="P64" s="44"/>
      <c r="Q64" s="44"/>
      <c r="R64" s="44"/>
      <c r="S64" s="45"/>
      <c r="T64" s="72">
        <v>8000</v>
      </c>
      <c r="U64" s="73">
        <v>78.400000000000006</v>
      </c>
      <c r="V64" s="73">
        <v>85.3</v>
      </c>
      <c r="W64" s="75">
        <v>280</v>
      </c>
      <c r="X64" s="75">
        <v>76.599999999999994</v>
      </c>
      <c r="Y64" s="75">
        <v>0.33</v>
      </c>
      <c r="Z64" s="75">
        <v>65.5</v>
      </c>
      <c r="AA64" s="75">
        <v>0.39</v>
      </c>
      <c r="AB64" s="73">
        <v>25</v>
      </c>
      <c r="AC64" s="76">
        <v>140</v>
      </c>
      <c r="AD64" s="112">
        <v>302</v>
      </c>
      <c r="AE64" s="116">
        <v>1.07</v>
      </c>
      <c r="AF64" s="124">
        <v>1.0049999999999999</v>
      </c>
      <c r="AG64" s="116">
        <v>1</v>
      </c>
      <c r="AH64" s="114">
        <v>76.599999999999994</v>
      </c>
    </row>
    <row r="65" spans="1:37" s="4" customFormat="1" ht="17.5" hidden="1" x14ac:dyDescent="0.35">
      <c r="A65" s="141">
        <v>459</v>
      </c>
      <c r="B65" s="27">
        <v>74.224399999999989</v>
      </c>
      <c r="C65" s="28"/>
      <c r="D65" s="29">
        <v>342.40463901952</v>
      </c>
      <c r="E65" s="33"/>
      <c r="F65" s="30">
        <v>18</v>
      </c>
      <c r="G65" s="30">
        <v>74</v>
      </c>
      <c r="H65" s="30">
        <v>9</v>
      </c>
      <c r="I65" s="35">
        <v>4.3499999999999996</v>
      </c>
      <c r="J65" s="29">
        <v>71.28</v>
      </c>
      <c r="K65" s="28"/>
      <c r="L65" s="31"/>
      <c r="M65" s="43"/>
      <c r="N65" s="44"/>
      <c r="O65" s="44"/>
      <c r="P65" s="44"/>
      <c r="Q65" s="44"/>
      <c r="R65" s="44"/>
      <c r="S65" s="45"/>
      <c r="T65" s="72">
        <v>8000</v>
      </c>
      <c r="U65" s="73">
        <v>78.5</v>
      </c>
      <c r="V65" s="73">
        <v>85.4</v>
      </c>
      <c r="W65" s="75">
        <v>280</v>
      </c>
      <c r="X65" s="75">
        <v>76.900000000000006</v>
      </c>
      <c r="Y65" s="75">
        <v>0.33</v>
      </c>
      <c r="Z65" s="75">
        <v>65.2</v>
      </c>
      <c r="AA65" s="75">
        <v>0.44</v>
      </c>
      <c r="AB65" s="73">
        <v>25</v>
      </c>
      <c r="AC65" s="76">
        <v>140</v>
      </c>
      <c r="AD65" s="112">
        <v>307</v>
      </c>
      <c r="AE65" s="116">
        <v>1.071</v>
      </c>
      <c r="AF65" s="124">
        <v>1.0049999999999999</v>
      </c>
      <c r="AG65" s="116">
        <v>1</v>
      </c>
      <c r="AH65" s="114">
        <v>76.900000000000006</v>
      </c>
    </row>
    <row r="66" spans="1:37" hidden="1" x14ac:dyDescent="0.35">
      <c r="A66" s="141">
        <v>460</v>
      </c>
      <c r="B66" s="27">
        <v>74.396465000000006</v>
      </c>
      <c r="C66" s="28"/>
      <c r="D66" s="29">
        <v>343.19839220867209</v>
      </c>
      <c r="E66" s="33"/>
      <c r="F66" s="30">
        <v>18</v>
      </c>
      <c r="G66" s="30">
        <v>74</v>
      </c>
      <c r="H66" s="30">
        <v>9</v>
      </c>
      <c r="I66" s="35">
        <v>4.1900000000000004</v>
      </c>
      <c r="J66" s="29">
        <v>70.2</v>
      </c>
      <c r="K66" s="28"/>
      <c r="L66" s="31"/>
      <c r="M66" s="43"/>
      <c r="N66" s="44"/>
      <c r="O66" s="44"/>
      <c r="P66" s="44"/>
      <c r="Q66" s="44"/>
      <c r="R66" s="44"/>
      <c r="S66" s="45"/>
      <c r="T66" s="72">
        <v>8000</v>
      </c>
      <c r="U66" s="73">
        <v>78.3</v>
      </c>
      <c r="V66" s="73">
        <v>85.5</v>
      </c>
      <c r="W66" s="75">
        <v>285</v>
      </c>
      <c r="X66" s="75">
        <v>76.900000000000006</v>
      </c>
      <c r="Y66" s="75">
        <v>0.33</v>
      </c>
      <c r="Z66" s="75">
        <v>65.099999999999994</v>
      </c>
      <c r="AA66" s="75">
        <v>0.45</v>
      </c>
      <c r="AB66" s="73">
        <v>25</v>
      </c>
      <c r="AC66" s="76">
        <v>140</v>
      </c>
      <c r="AD66" s="112">
        <v>295</v>
      </c>
      <c r="AE66" s="116">
        <v>1.073</v>
      </c>
      <c r="AF66" s="124">
        <v>1.006</v>
      </c>
      <c r="AG66" s="116">
        <v>1</v>
      </c>
      <c r="AH66" s="114">
        <v>76.900000000000006</v>
      </c>
      <c r="AI66" s="6"/>
      <c r="AJ66" s="6"/>
      <c r="AK66" s="6"/>
    </row>
    <row r="67" spans="1:37" hidden="1" x14ac:dyDescent="0.35">
      <c r="A67" s="141">
        <v>461</v>
      </c>
      <c r="B67" s="27">
        <v>74.320619999999991</v>
      </c>
      <c r="C67" s="28"/>
      <c r="D67" s="29">
        <v>342.84851157849602</v>
      </c>
      <c r="E67" s="33"/>
      <c r="F67" s="30">
        <v>19</v>
      </c>
      <c r="G67" s="30">
        <v>74</v>
      </c>
      <c r="H67" s="30">
        <v>8</v>
      </c>
      <c r="I67" s="35">
        <v>4.3</v>
      </c>
      <c r="J67" s="29">
        <v>70.28</v>
      </c>
      <c r="K67" s="28"/>
      <c r="L67" s="31"/>
      <c r="M67" s="43"/>
      <c r="N67" s="44"/>
      <c r="O67" s="44"/>
      <c r="P67" s="44"/>
      <c r="Q67" s="44"/>
      <c r="R67" s="44"/>
      <c r="S67" s="45"/>
      <c r="T67" s="72">
        <v>8000</v>
      </c>
      <c r="U67" s="73">
        <v>78.5</v>
      </c>
      <c r="V67" s="73">
        <v>85.4</v>
      </c>
      <c r="W67" s="75">
        <v>285</v>
      </c>
      <c r="X67" s="75">
        <v>77.900000000000006</v>
      </c>
      <c r="Y67" s="75">
        <v>0.33</v>
      </c>
      <c r="Z67" s="75">
        <v>65</v>
      </c>
      <c r="AA67" s="75">
        <v>0.48</v>
      </c>
      <c r="AB67" s="73">
        <v>25</v>
      </c>
      <c r="AC67" s="76">
        <v>140</v>
      </c>
      <c r="AD67" s="112">
        <v>267</v>
      </c>
      <c r="AE67" s="116">
        <v>1.075</v>
      </c>
      <c r="AF67" s="124">
        <v>1.0049999999999999</v>
      </c>
      <c r="AG67" s="116">
        <v>1</v>
      </c>
      <c r="AH67" s="114">
        <v>77.900000000000006</v>
      </c>
      <c r="AI67" s="6"/>
      <c r="AJ67" s="6"/>
      <c r="AK67" s="6"/>
    </row>
    <row r="68" spans="1:37" hidden="1" x14ac:dyDescent="0.35">
      <c r="A68" s="141">
        <v>462</v>
      </c>
      <c r="B68" s="27">
        <v>74.359449999999995</v>
      </c>
      <c r="C68" s="28"/>
      <c r="D68" s="29">
        <v>343.02763828256002</v>
      </c>
      <c r="E68" s="33"/>
      <c r="F68" s="30">
        <v>18</v>
      </c>
      <c r="G68" s="30">
        <v>73</v>
      </c>
      <c r="H68" s="30">
        <v>9</v>
      </c>
      <c r="I68" s="35">
        <v>4.25</v>
      </c>
      <c r="J68" s="29">
        <v>70.3</v>
      </c>
      <c r="K68" s="28"/>
      <c r="L68" s="31"/>
      <c r="M68" s="43"/>
      <c r="N68" s="44"/>
      <c r="O68" s="44"/>
      <c r="P68" s="44"/>
      <c r="Q68" s="44"/>
      <c r="R68" s="44"/>
      <c r="S68" s="45"/>
      <c r="T68" s="72">
        <v>8000</v>
      </c>
      <c r="U68" s="73">
        <v>78.400000000000006</v>
      </c>
      <c r="V68" s="73">
        <v>85.3</v>
      </c>
      <c r="W68" s="75">
        <v>280</v>
      </c>
      <c r="X68" s="75">
        <v>76.900000000000006</v>
      </c>
      <c r="Y68" s="75">
        <v>0.33</v>
      </c>
      <c r="Z68" s="75">
        <v>65.5</v>
      </c>
      <c r="AA68" s="75">
        <v>0.45</v>
      </c>
      <c r="AB68" s="73">
        <v>25</v>
      </c>
      <c r="AC68" s="76">
        <v>140</v>
      </c>
      <c r="AD68" s="112">
        <v>255</v>
      </c>
      <c r="AE68" s="113">
        <v>1.071</v>
      </c>
      <c r="AF68" s="124">
        <v>1.0049999999999999</v>
      </c>
      <c r="AG68" s="116">
        <v>1</v>
      </c>
      <c r="AH68" s="114">
        <v>76.900000000000006</v>
      </c>
      <c r="AI68" s="6"/>
      <c r="AJ68" s="6"/>
      <c r="AK68" s="6"/>
    </row>
    <row r="69" spans="1:37" hidden="1" x14ac:dyDescent="0.35">
      <c r="A69" s="141">
        <v>463</v>
      </c>
      <c r="B69" s="27">
        <v>74.311050000000009</v>
      </c>
      <c r="C69" s="28"/>
      <c r="D69" s="29">
        <v>342.80436420384007</v>
      </c>
      <c r="E69" s="33"/>
      <c r="F69" s="30">
        <v>18</v>
      </c>
      <c r="G69" s="30">
        <v>74</v>
      </c>
      <c r="H69" s="30">
        <v>9</v>
      </c>
      <c r="I69" s="35">
        <v>4.3</v>
      </c>
      <c r="J69" s="29">
        <v>71.239999999999995</v>
      </c>
      <c r="K69" s="28"/>
      <c r="L69" s="31"/>
      <c r="M69" s="43"/>
      <c r="N69" s="44"/>
      <c r="O69" s="44"/>
      <c r="P69" s="44"/>
      <c r="Q69" s="44"/>
      <c r="R69" s="44"/>
      <c r="S69" s="45"/>
      <c r="T69" s="72">
        <v>8000</v>
      </c>
      <c r="U69" s="73">
        <v>78.2</v>
      </c>
      <c r="V69" s="73">
        <v>85.5</v>
      </c>
      <c r="W69" s="75">
        <v>300</v>
      </c>
      <c r="X69" s="75">
        <v>76.8</v>
      </c>
      <c r="Y69" s="75">
        <v>0.33</v>
      </c>
      <c r="Z69" s="75">
        <v>65.400000000000006</v>
      </c>
      <c r="AA69" s="75">
        <v>0.46</v>
      </c>
      <c r="AB69" s="73">
        <v>25</v>
      </c>
      <c r="AC69" s="76">
        <v>140</v>
      </c>
      <c r="AD69" s="112">
        <v>268</v>
      </c>
      <c r="AE69" s="115">
        <v>1.0720000000000001</v>
      </c>
      <c r="AF69" s="124">
        <v>1.0049999999999999</v>
      </c>
      <c r="AG69" s="116">
        <v>1</v>
      </c>
      <c r="AH69" s="114">
        <v>76.8</v>
      </c>
      <c r="AI69" s="6"/>
      <c r="AJ69" s="6"/>
      <c r="AK69" s="6"/>
    </row>
    <row r="70" spans="1:37" hidden="1" x14ac:dyDescent="0.35">
      <c r="A70" s="141">
        <v>464</v>
      </c>
      <c r="B70" s="27">
        <v>74.318815000000001</v>
      </c>
      <c r="C70" s="28"/>
      <c r="D70" s="29">
        <v>342.84018493155207</v>
      </c>
      <c r="E70" s="33"/>
      <c r="F70" s="30">
        <v>19</v>
      </c>
      <c r="G70" s="30">
        <v>73</v>
      </c>
      <c r="H70" s="30">
        <v>8</v>
      </c>
      <c r="I70" s="35">
        <v>4.29</v>
      </c>
      <c r="J70" s="29">
        <v>72</v>
      </c>
      <c r="K70" s="28"/>
      <c r="L70" s="31"/>
      <c r="M70" s="43"/>
      <c r="N70" s="44"/>
      <c r="O70" s="44"/>
      <c r="P70" s="44"/>
      <c r="Q70" s="44"/>
      <c r="R70" s="44"/>
      <c r="S70" s="45"/>
      <c r="T70" s="72">
        <v>8000</v>
      </c>
      <c r="U70" s="73">
        <v>78.400000000000006</v>
      </c>
      <c r="V70" s="73">
        <v>85.4</v>
      </c>
      <c r="W70" s="75">
        <v>300</v>
      </c>
      <c r="X70" s="75">
        <v>77.099999999999994</v>
      </c>
      <c r="Y70" s="75">
        <v>0.33</v>
      </c>
      <c r="Z70" s="75">
        <v>65.2</v>
      </c>
      <c r="AA70" s="75">
        <v>0.44</v>
      </c>
      <c r="AB70" s="73">
        <v>25</v>
      </c>
      <c r="AC70" s="76">
        <v>140</v>
      </c>
      <c r="AD70" s="112">
        <v>255</v>
      </c>
      <c r="AE70" s="115">
        <v>1.075</v>
      </c>
      <c r="AF70" s="124">
        <v>1.006</v>
      </c>
      <c r="AG70" s="116">
        <v>1</v>
      </c>
      <c r="AH70" s="114">
        <v>77.099999999999994</v>
      </c>
      <c r="AI70" s="6"/>
      <c r="AJ70" s="6"/>
      <c r="AK70" s="6"/>
    </row>
    <row r="71" spans="1:37" hidden="1" x14ac:dyDescent="0.35">
      <c r="A71" s="141">
        <v>465</v>
      </c>
      <c r="B71" s="27">
        <v>74.318253999999996</v>
      </c>
      <c r="C71" s="28"/>
      <c r="D71" s="29">
        <v>342.83759698200322</v>
      </c>
      <c r="E71" s="33"/>
      <c r="F71" s="30">
        <v>18</v>
      </c>
      <c r="G71" s="30">
        <v>74</v>
      </c>
      <c r="H71" s="30">
        <v>9</v>
      </c>
      <c r="I71" s="35">
        <v>4.34</v>
      </c>
      <c r="J71" s="29">
        <v>72.010000000000005</v>
      </c>
      <c r="K71" s="28"/>
      <c r="L71" s="31"/>
      <c r="M71" s="43"/>
      <c r="N71" s="44"/>
      <c r="O71" s="44"/>
      <c r="P71" s="44"/>
      <c r="Q71" s="44"/>
      <c r="R71" s="44"/>
      <c r="S71" s="45"/>
      <c r="T71" s="72">
        <v>8000</v>
      </c>
      <c r="U71" s="73">
        <v>78.2</v>
      </c>
      <c r="V71" s="73">
        <v>85.1</v>
      </c>
      <c r="W71" s="75">
        <v>280</v>
      </c>
      <c r="X71" s="75">
        <v>77.3</v>
      </c>
      <c r="Y71" s="75">
        <v>0.33</v>
      </c>
      <c r="Z71" s="75">
        <v>65</v>
      </c>
      <c r="AA71" s="75">
        <v>0.44</v>
      </c>
      <c r="AB71" s="73">
        <v>25</v>
      </c>
      <c r="AC71" s="76">
        <v>140</v>
      </c>
      <c r="AD71" s="112">
        <v>233</v>
      </c>
      <c r="AE71" s="115">
        <v>1.0740000000000001</v>
      </c>
      <c r="AF71" s="124">
        <v>1.0049999999999999</v>
      </c>
      <c r="AG71" s="116">
        <v>1</v>
      </c>
      <c r="AH71" s="114">
        <v>77.3</v>
      </c>
      <c r="AI71" s="6"/>
      <c r="AJ71" s="6"/>
      <c r="AK71" s="6"/>
    </row>
    <row r="72" spans="1:37" hidden="1" x14ac:dyDescent="0.35">
      <c r="A72" s="141">
        <v>466</v>
      </c>
      <c r="B72" s="27">
        <v>74.285384000000008</v>
      </c>
      <c r="C72" s="28"/>
      <c r="D72" s="29">
        <v>342.68596435870728</v>
      </c>
      <c r="E72" s="33"/>
      <c r="F72" s="30">
        <v>18</v>
      </c>
      <c r="G72" s="30">
        <v>74</v>
      </c>
      <c r="H72" s="30">
        <v>8</v>
      </c>
      <c r="I72" s="35">
        <v>4.26</v>
      </c>
      <c r="J72" s="29">
        <v>71.11</v>
      </c>
      <c r="K72" s="28"/>
      <c r="L72" s="31"/>
      <c r="M72" s="43"/>
      <c r="N72" s="44"/>
      <c r="O72" s="44"/>
      <c r="P72" s="44"/>
      <c r="Q72" s="44"/>
      <c r="R72" s="44"/>
      <c r="S72" s="45"/>
      <c r="T72" s="72">
        <v>8000</v>
      </c>
      <c r="U72" s="73">
        <v>78.400000000000006</v>
      </c>
      <c r="V72" s="73">
        <v>85.4</v>
      </c>
      <c r="W72" s="75">
        <v>300</v>
      </c>
      <c r="X72" s="75">
        <v>76.7</v>
      </c>
      <c r="Y72" s="75">
        <v>0.33</v>
      </c>
      <c r="Z72" s="75">
        <v>65.099999999999994</v>
      </c>
      <c r="AA72" s="75">
        <v>0.45</v>
      </c>
      <c r="AB72" s="73">
        <v>25</v>
      </c>
      <c r="AC72" s="76">
        <v>140</v>
      </c>
      <c r="AD72" s="112">
        <v>250</v>
      </c>
      <c r="AE72" s="113">
        <v>1.0720000000000001</v>
      </c>
      <c r="AF72" s="124">
        <v>1.006</v>
      </c>
      <c r="AG72" s="116">
        <v>1</v>
      </c>
      <c r="AH72" s="114">
        <v>76.7</v>
      </c>
      <c r="AI72" s="6"/>
      <c r="AJ72" s="6"/>
      <c r="AK72" s="6"/>
    </row>
    <row r="73" spans="1:37" hidden="1" x14ac:dyDescent="0.35">
      <c r="A73" s="141">
        <v>467</v>
      </c>
      <c r="B73" s="27">
        <v>74.411995000000005</v>
      </c>
      <c r="C73" s="28"/>
      <c r="D73" s="29">
        <v>343.27003366409605</v>
      </c>
      <c r="E73" s="33"/>
      <c r="F73" s="30">
        <v>19</v>
      </c>
      <c r="G73" s="30">
        <v>74</v>
      </c>
      <c r="H73" s="30">
        <v>9</v>
      </c>
      <c r="I73" s="35">
        <v>4.3600000000000003</v>
      </c>
      <c r="J73" s="29">
        <v>72.08</v>
      </c>
      <c r="K73" s="28"/>
      <c r="L73" s="31"/>
      <c r="M73" s="43"/>
      <c r="N73" s="44"/>
      <c r="O73" s="44"/>
      <c r="P73" s="44"/>
      <c r="Q73" s="44"/>
      <c r="R73" s="44"/>
      <c r="S73" s="45"/>
      <c r="T73" s="72">
        <v>8000</v>
      </c>
      <c r="U73" s="73">
        <v>78.400000000000006</v>
      </c>
      <c r="V73" s="73">
        <v>85.6</v>
      </c>
      <c r="W73" s="75">
        <v>300</v>
      </c>
      <c r="X73" s="75">
        <v>76.900000000000006</v>
      </c>
      <c r="Y73" s="75">
        <v>0.33</v>
      </c>
      <c r="Z73" s="75">
        <v>65.2</v>
      </c>
      <c r="AA73" s="75">
        <v>0.42</v>
      </c>
      <c r="AB73" s="73">
        <v>25</v>
      </c>
      <c r="AC73" s="76">
        <v>140</v>
      </c>
      <c r="AD73" s="112">
        <v>250</v>
      </c>
      <c r="AE73" s="113">
        <v>1.071</v>
      </c>
      <c r="AF73" s="124">
        <v>1.0049999999999999</v>
      </c>
      <c r="AG73" s="116">
        <v>1</v>
      </c>
      <c r="AH73" s="114">
        <v>76.900000000000006</v>
      </c>
      <c r="AI73" s="6"/>
      <c r="AJ73" s="6"/>
      <c r="AK73" s="6"/>
    </row>
    <row r="74" spans="1:37" hidden="1" x14ac:dyDescent="0.35">
      <c r="A74" s="141">
        <v>468</v>
      </c>
      <c r="B74" s="27">
        <v>74.291354999999996</v>
      </c>
      <c r="C74" s="28"/>
      <c r="D74" s="29">
        <v>342.71350918358405</v>
      </c>
      <c r="E74" s="33"/>
      <c r="F74" s="30">
        <v>18</v>
      </c>
      <c r="G74" s="30">
        <v>74</v>
      </c>
      <c r="H74" s="30">
        <v>8</v>
      </c>
      <c r="I74" s="35">
        <v>4.3499999999999996</v>
      </c>
      <c r="J74" s="29">
        <v>72.28</v>
      </c>
      <c r="K74" s="28"/>
      <c r="L74" s="31"/>
      <c r="M74" s="43"/>
      <c r="N74" s="44"/>
      <c r="O74" s="44"/>
      <c r="P74" s="44"/>
      <c r="Q74" s="44"/>
      <c r="R74" s="44"/>
      <c r="S74" s="45"/>
      <c r="T74" s="72">
        <v>8000</v>
      </c>
      <c r="U74" s="73">
        <v>78.5</v>
      </c>
      <c r="V74" s="73">
        <v>85.4</v>
      </c>
      <c r="W74" s="75">
        <v>285</v>
      </c>
      <c r="X74" s="75">
        <v>76.8</v>
      </c>
      <c r="Y74" s="75">
        <v>0.33</v>
      </c>
      <c r="Z74" s="75">
        <v>65</v>
      </c>
      <c r="AA74" s="75">
        <v>0.48</v>
      </c>
      <c r="AB74" s="73">
        <v>25</v>
      </c>
      <c r="AC74" s="76">
        <v>140</v>
      </c>
      <c r="AD74" s="112">
        <v>255</v>
      </c>
      <c r="AE74" s="113">
        <v>1.075</v>
      </c>
      <c r="AF74" s="124">
        <v>1.0049999999999999</v>
      </c>
      <c r="AG74" s="116">
        <v>1</v>
      </c>
      <c r="AH74" s="114">
        <v>76.8</v>
      </c>
      <c r="AI74" s="6"/>
      <c r="AJ74" s="6"/>
      <c r="AK74" s="6"/>
    </row>
    <row r="75" spans="1:37" hidden="1" x14ac:dyDescent="0.35">
      <c r="A75" s="141">
        <v>469</v>
      </c>
      <c r="B75" s="27">
        <v>74.320619999999991</v>
      </c>
      <c r="C75" s="28"/>
      <c r="D75" s="29">
        <v>342.84851157849602</v>
      </c>
      <c r="E75" s="33"/>
      <c r="F75" s="30">
        <v>19</v>
      </c>
      <c r="G75" s="30">
        <v>74</v>
      </c>
      <c r="H75" s="30">
        <v>8</v>
      </c>
      <c r="I75" s="35">
        <v>4.3</v>
      </c>
      <c r="J75" s="29">
        <v>72</v>
      </c>
      <c r="K75" s="28"/>
      <c r="L75" s="31"/>
      <c r="M75" s="43"/>
      <c r="N75" s="44"/>
      <c r="O75" s="44"/>
      <c r="P75" s="44"/>
      <c r="Q75" s="44"/>
      <c r="R75" s="44"/>
      <c r="S75" s="45"/>
      <c r="T75" s="72">
        <v>8000</v>
      </c>
      <c r="U75" s="73">
        <v>78.5</v>
      </c>
      <c r="V75" s="73">
        <v>85.4</v>
      </c>
      <c r="W75" s="75">
        <v>280</v>
      </c>
      <c r="X75" s="75">
        <v>76.8</v>
      </c>
      <c r="Y75" s="75">
        <v>0.33</v>
      </c>
      <c r="Z75" s="75">
        <v>65.400000000000006</v>
      </c>
      <c r="AA75" s="75">
        <v>0.4</v>
      </c>
      <c r="AB75" s="73">
        <v>25</v>
      </c>
      <c r="AC75" s="76">
        <v>140</v>
      </c>
      <c r="AD75" s="112">
        <v>268</v>
      </c>
      <c r="AE75" s="113">
        <v>1.07</v>
      </c>
      <c r="AF75" s="124">
        <v>1.0049999999999999</v>
      </c>
      <c r="AG75" s="116">
        <v>1</v>
      </c>
      <c r="AH75" s="114">
        <v>76.8</v>
      </c>
      <c r="AI75" s="6"/>
      <c r="AJ75" s="6"/>
      <c r="AK75" s="6"/>
    </row>
    <row r="76" spans="1:37" hidden="1" x14ac:dyDescent="0.35">
      <c r="A76" s="141">
        <v>470</v>
      </c>
      <c r="B76" s="27">
        <v>74.320619999999991</v>
      </c>
      <c r="C76" s="28"/>
      <c r="D76" s="29">
        <v>342.84851157849602</v>
      </c>
      <c r="E76" s="33"/>
      <c r="F76" s="30">
        <v>18</v>
      </c>
      <c r="G76" s="30">
        <v>73</v>
      </c>
      <c r="H76" s="30">
        <v>9</v>
      </c>
      <c r="I76" s="35">
        <v>4.3</v>
      </c>
      <c r="J76" s="29">
        <v>71.22</v>
      </c>
      <c r="K76" s="28"/>
      <c r="L76" s="31"/>
      <c r="M76" s="43"/>
      <c r="N76" s="44"/>
      <c r="O76" s="44"/>
      <c r="P76" s="44"/>
      <c r="Q76" s="44"/>
      <c r="R76" s="44"/>
      <c r="S76" s="45"/>
      <c r="T76" s="72">
        <v>8000</v>
      </c>
      <c r="U76" s="73">
        <v>78.5</v>
      </c>
      <c r="V76" s="73">
        <v>85.4</v>
      </c>
      <c r="W76" s="75">
        <v>295</v>
      </c>
      <c r="X76" s="75">
        <v>76.8</v>
      </c>
      <c r="Y76" s="75">
        <v>0.33</v>
      </c>
      <c r="Z76" s="75">
        <v>65.2</v>
      </c>
      <c r="AA76" s="75">
        <v>0.48</v>
      </c>
      <c r="AB76" s="73">
        <v>25</v>
      </c>
      <c r="AC76" s="76">
        <v>140</v>
      </c>
      <c r="AD76" s="112">
        <v>265</v>
      </c>
      <c r="AE76" s="113">
        <v>1.069</v>
      </c>
      <c r="AF76" s="124">
        <v>1.0049999999999999</v>
      </c>
      <c r="AG76" s="116">
        <v>1</v>
      </c>
      <c r="AH76" s="114">
        <v>76.8</v>
      </c>
      <c r="AI76" s="6"/>
      <c r="AJ76" s="6"/>
      <c r="AK76" s="6"/>
    </row>
    <row r="77" spans="1:37" hidden="1" x14ac:dyDescent="0.35">
      <c r="A77" s="141">
        <v>476</v>
      </c>
      <c r="B77" s="27">
        <v>74.318253999999996</v>
      </c>
      <c r="C77" s="28"/>
      <c r="D77" s="29">
        <v>342.83759698200322</v>
      </c>
      <c r="E77" s="33"/>
      <c r="F77" s="30">
        <v>19</v>
      </c>
      <c r="G77" s="30">
        <v>74</v>
      </c>
      <c r="H77" s="30">
        <v>8</v>
      </c>
      <c r="I77" s="35">
        <v>4.29</v>
      </c>
      <c r="J77" s="29">
        <v>72.239999999999995</v>
      </c>
      <c r="K77" s="28"/>
      <c r="L77" s="31"/>
      <c r="M77" s="43"/>
      <c r="N77" s="44"/>
      <c r="O77" s="44"/>
      <c r="P77" s="44"/>
      <c r="Q77" s="44"/>
      <c r="R77" s="44"/>
      <c r="S77" s="45"/>
      <c r="T77" s="72">
        <v>8000</v>
      </c>
      <c r="U77" s="73">
        <v>78.400000000000006</v>
      </c>
      <c r="V77" s="73">
        <v>85.3</v>
      </c>
      <c r="W77" s="75">
        <v>285</v>
      </c>
      <c r="X77" s="75">
        <v>76.2</v>
      </c>
      <c r="Y77" s="75">
        <v>0.33</v>
      </c>
      <c r="Z77" s="75">
        <v>65.3</v>
      </c>
      <c r="AA77" s="75">
        <v>0.42</v>
      </c>
      <c r="AB77" s="73">
        <v>25</v>
      </c>
      <c r="AC77" s="76">
        <v>140</v>
      </c>
      <c r="AD77" s="112">
        <v>240</v>
      </c>
      <c r="AE77" s="113">
        <v>1.071</v>
      </c>
      <c r="AF77" s="124">
        <v>1.006</v>
      </c>
      <c r="AG77" s="116">
        <v>1</v>
      </c>
      <c r="AH77" s="114">
        <v>76.2</v>
      </c>
      <c r="AI77" s="6"/>
      <c r="AJ77" s="6"/>
      <c r="AK77" s="6"/>
    </row>
    <row r="78" spans="1:37" ht="16" hidden="1" thickBot="1" x14ac:dyDescent="0.4">
      <c r="A78" s="141">
        <v>477</v>
      </c>
      <c r="B78" s="46">
        <v>74.297864000000004</v>
      </c>
      <c r="C78" s="47"/>
      <c r="D78" s="48">
        <v>342.74353585669127</v>
      </c>
      <c r="E78" s="49"/>
      <c r="F78" s="50">
        <v>18</v>
      </c>
      <c r="G78" s="50">
        <v>74</v>
      </c>
      <c r="H78" s="50">
        <v>8</v>
      </c>
      <c r="I78" s="51">
        <v>4.28</v>
      </c>
      <c r="J78" s="48">
        <v>70.48</v>
      </c>
      <c r="K78" s="47"/>
      <c r="L78" s="52"/>
      <c r="M78" s="53"/>
      <c r="N78" s="54"/>
      <c r="O78" s="54"/>
      <c r="P78" s="54"/>
      <c r="Q78" s="54"/>
      <c r="R78" s="54"/>
      <c r="S78" s="55"/>
      <c r="T78" s="78">
        <v>8000</v>
      </c>
      <c r="U78" s="79">
        <v>78.2</v>
      </c>
      <c r="V78" s="79">
        <v>85.1</v>
      </c>
      <c r="W78" s="80">
        <v>295</v>
      </c>
      <c r="X78" s="80">
        <v>76.400000000000006</v>
      </c>
      <c r="Y78" s="80">
        <v>0.33</v>
      </c>
      <c r="Z78" s="80">
        <v>65</v>
      </c>
      <c r="AA78" s="80">
        <v>0.4</v>
      </c>
      <c r="AB78" s="79">
        <v>25</v>
      </c>
      <c r="AC78" s="81">
        <v>140</v>
      </c>
      <c r="AD78" s="117">
        <v>233</v>
      </c>
      <c r="AE78" s="118">
        <v>1.073</v>
      </c>
      <c r="AF78" s="125">
        <v>1.0049999999999999</v>
      </c>
      <c r="AG78" s="126">
        <v>1</v>
      </c>
      <c r="AH78" s="119">
        <v>76.400000000000006</v>
      </c>
      <c r="AI78" s="6"/>
      <c r="AJ78" s="6"/>
      <c r="AK78" s="6"/>
    </row>
    <row r="79" spans="1:37" x14ac:dyDescent="0.35">
      <c r="A79" s="7"/>
      <c r="T79" s="8"/>
      <c r="U79" s="8"/>
      <c r="V79" s="8"/>
      <c r="W79" s="5"/>
      <c r="X79" s="5"/>
      <c r="Y79" s="5"/>
      <c r="Z79" s="9"/>
      <c r="AA79" s="10"/>
      <c r="AB79" s="8"/>
      <c r="AC79" s="5"/>
      <c r="AD79" s="5"/>
      <c r="AE79" s="5"/>
      <c r="AF79" s="5"/>
      <c r="AG79" s="5"/>
      <c r="AH79" s="5"/>
      <c r="AI79" s="6"/>
      <c r="AJ79" s="6"/>
      <c r="AK79" s="6"/>
    </row>
    <row r="80" spans="1:37" x14ac:dyDescent="0.35">
      <c r="A80" s="7"/>
      <c r="B80" s="56" t="s">
        <v>145</v>
      </c>
      <c r="C80" s="56" t="s">
        <v>146</v>
      </c>
      <c r="D80" s="56"/>
      <c r="E80" s="56"/>
      <c r="F80" s="56"/>
      <c r="T80" s="8"/>
      <c r="U80" s="8"/>
      <c r="V80" s="8"/>
      <c r="W80" s="5"/>
      <c r="X80" s="5"/>
      <c r="Y80" s="5"/>
      <c r="Z80" s="9"/>
      <c r="AA80" s="10"/>
      <c r="AB80" s="8"/>
      <c r="AC80" s="5"/>
      <c r="AD80" s="5"/>
      <c r="AE80" s="5"/>
      <c r="AF80" s="5"/>
      <c r="AG80" s="5"/>
      <c r="AH80" s="5"/>
      <c r="AI80" s="6"/>
      <c r="AJ80" s="6"/>
      <c r="AK80" s="6"/>
    </row>
    <row r="81" spans="1:37" x14ac:dyDescent="0.35">
      <c r="A81" s="7"/>
      <c r="B81" s="142" t="s">
        <v>147</v>
      </c>
      <c r="C81" s="142" t="s">
        <v>148</v>
      </c>
      <c r="D81" s="142"/>
      <c r="E81" s="142"/>
      <c r="F81" s="142"/>
      <c r="T81" s="8"/>
      <c r="U81" s="8"/>
      <c r="V81" s="8"/>
      <c r="W81" s="5"/>
      <c r="X81" s="5"/>
      <c r="Y81" s="5"/>
      <c r="Z81" s="5"/>
      <c r="AA81" s="10"/>
      <c r="AB81" s="8"/>
      <c r="AC81" s="5"/>
      <c r="AD81" s="5"/>
      <c r="AE81" s="5"/>
      <c r="AF81" s="5"/>
      <c r="AG81" s="5"/>
      <c r="AH81" s="5"/>
      <c r="AI81" s="6"/>
      <c r="AJ81" s="6"/>
      <c r="AK81" s="6"/>
    </row>
    <row r="82" spans="1:37" x14ac:dyDescent="0.35">
      <c r="A82" s="7"/>
      <c r="B82" s="143" t="s">
        <v>149</v>
      </c>
      <c r="C82" s="143" t="s">
        <v>150</v>
      </c>
      <c r="D82" s="143"/>
      <c r="E82" s="143"/>
      <c r="F82" s="143"/>
      <c r="T82" s="8"/>
      <c r="U82" s="8"/>
      <c r="V82" s="8"/>
      <c r="W82" s="5"/>
      <c r="X82" s="5"/>
      <c r="Y82" s="5"/>
      <c r="Z82" s="5"/>
      <c r="AA82" s="10"/>
      <c r="AB82" s="8"/>
      <c r="AC82" s="5"/>
      <c r="AD82" s="5"/>
      <c r="AE82" s="5"/>
      <c r="AF82" s="5"/>
      <c r="AG82" s="5"/>
      <c r="AH82" s="5"/>
      <c r="AI82" s="6"/>
      <c r="AJ82" s="6"/>
      <c r="AK82" s="6"/>
    </row>
    <row r="83" spans="1:37" x14ac:dyDescent="0.35">
      <c r="A83" s="7"/>
      <c r="T83" s="8"/>
      <c r="U83" s="8"/>
      <c r="V83" s="8"/>
      <c r="W83" s="5"/>
      <c r="X83" s="5"/>
      <c r="Y83" s="5"/>
      <c r="Z83" s="9"/>
      <c r="AA83" s="10"/>
      <c r="AB83" s="8"/>
      <c r="AC83" s="5"/>
      <c r="AD83" s="5"/>
      <c r="AE83" s="5"/>
      <c r="AF83" s="5"/>
      <c r="AG83" s="5"/>
      <c r="AH83" s="5"/>
      <c r="AI83" s="6"/>
      <c r="AJ83" s="6"/>
      <c r="AK83" s="6"/>
    </row>
    <row r="84" spans="1:37" x14ac:dyDescent="0.35">
      <c r="A84" s="7"/>
      <c r="T84" s="8"/>
      <c r="U84" s="8"/>
      <c r="V84" s="8"/>
      <c r="W84" s="5"/>
      <c r="X84" s="5"/>
      <c r="Y84" s="5"/>
      <c r="Z84" s="5"/>
      <c r="AA84" s="10"/>
      <c r="AB84" s="8"/>
      <c r="AC84" s="5"/>
      <c r="AD84" s="5"/>
      <c r="AE84" s="5"/>
      <c r="AF84" s="5"/>
      <c r="AG84" s="5"/>
      <c r="AH84" s="5"/>
      <c r="AI84" s="6"/>
      <c r="AJ84" s="6"/>
      <c r="AK84" s="6"/>
    </row>
    <row r="85" spans="1:37" x14ac:dyDescent="0.35">
      <c r="A85" s="7"/>
      <c r="T85" s="8"/>
      <c r="U85" s="8"/>
      <c r="V85" s="8"/>
      <c r="W85" s="5"/>
      <c r="X85" s="5"/>
      <c r="Y85" s="5"/>
      <c r="Z85" s="9"/>
      <c r="AA85" s="10"/>
      <c r="AB85" s="8"/>
      <c r="AC85" s="5"/>
      <c r="AD85" s="5"/>
      <c r="AE85" s="5"/>
      <c r="AF85" s="5"/>
      <c r="AG85" s="5"/>
      <c r="AH85" s="5"/>
      <c r="AI85" s="6"/>
      <c r="AJ85" s="6"/>
      <c r="AK85" s="6"/>
    </row>
    <row r="86" spans="1:37" x14ac:dyDescent="0.35">
      <c r="A86" s="7"/>
      <c r="T86" s="8"/>
      <c r="U86" s="8"/>
      <c r="V86" s="8"/>
      <c r="W86" s="5"/>
      <c r="X86" s="5"/>
      <c r="Y86" s="5"/>
      <c r="Z86" s="9"/>
      <c r="AA86" s="10"/>
      <c r="AB86" s="8"/>
      <c r="AC86" s="5"/>
      <c r="AD86" s="5"/>
      <c r="AE86" s="5"/>
      <c r="AF86" s="5"/>
      <c r="AG86" s="5"/>
      <c r="AH86" s="5"/>
      <c r="AI86" s="6"/>
      <c r="AJ86" s="6"/>
      <c r="AK86" s="6"/>
    </row>
    <row r="87" spans="1:37" x14ac:dyDescent="0.35">
      <c r="A87" s="7"/>
      <c r="T87" s="8"/>
      <c r="U87" s="8"/>
      <c r="V87" s="8"/>
      <c r="W87" s="5"/>
      <c r="X87" s="5"/>
      <c r="Y87" s="5"/>
      <c r="Z87" s="5"/>
      <c r="AA87" s="10"/>
      <c r="AB87" s="8"/>
      <c r="AC87" s="5"/>
      <c r="AD87" s="5"/>
      <c r="AE87" s="5"/>
      <c r="AF87" s="5"/>
      <c r="AG87" s="5"/>
      <c r="AH87" s="5"/>
      <c r="AI87" s="6"/>
      <c r="AJ87" s="6"/>
      <c r="AK87" s="6"/>
    </row>
    <row r="88" spans="1:37" x14ac:dyDescent="0.35">
      <c r="A88" s="7"/>
      <c r="T88" s="8"/>
      <c r="U88" s="8"/>
      <c r="V88" s="8"/>
      <c r="W88" s="5"/>
      <c r="X88" s="5"/>
      <c r="Y88" s="5"/>
      <c r="Z88" s="5"/>
      <c r="AA88" s="10"/>
      <c r="AB88" s="8"/>
      <c r="AC88" s="5"/>
      <c r="AD88" s="5"/>
      <c r="AE88" s="5"/>
      <c r="AF88" s="5"/>
      <c r="AG88" s="5"/>
      <c r="AH88" s="5"/>
      <c r="AI88" s="6"/>
      <c r="AJ88" s="6"/>
      <c r="AK88" s="6"/>
    </row>
    <row r="89" spans="1:37" x14ac:dyDescent="0.35">
      <c r="A89" s="7"/>
      <c r="T89" s="8"/>
      <c r="U89" s="8"/>
      <c r="V89" s="8"/>
      <c r="W89" s="5"/>
      <c r="X89" s="5"/>
      <c r="Y89" s="5"/>
      <c r="Z89" s="5"/>
      <c r="AA89" s="10"/>
      <c r="AB89" s="8"/>
      <c r="AC89" s="5"/>
      <c r="AD89" s="5"/>
      <c r="AE89" s="5"/>
      <c r="AF89" s="5"/>
      <c r="AG89" s="5"/>
      <c r="AH89" s="5"/>
      <c r="AI89" s="6"/>
      <c r="AJ89" s="6"/>
      <c r="AK89" s="6"/>
    </row>
    <row r="90" spans="1:37" x14ac:dyDescent="0.35">
      <c r="A90" s="7"/>
      <c r="T90" s="8"/>
      <c r="U90" s="8"/>
      <c r="V90" s="8"/>
      <c r="W90" s="5"/>
      <c r="X90" s="5"/>
      <c r="Y90" s="5"/>
      <c r="Z90" s="5"/>
      <c r="AA90" s="10"/>
      <c r="AB90" s="8"/>
      <c r="AC90" s="5"/>
      <c r="AD90" s="5"/>
      <c r="AE90" s="5"/>
      <c r="AF90" s="5"/>
      <c r="AG90" s="5"/>
      <c r="AH90" s="5"/>
      <c r="AI90" s="6"/>
      <c r="AJ90" s="6"/>
      <c r="AK90" s="6"/>
    </row>
    <row r="91" spans="1:37" x14ac:dyDescent="0.35">
      <c r="A91" s="7"/>
      <c r="T91" s="8"/>
      <c r="U91" s="8"/>
      <c r="V91" s="8"/>
      <c r="W91" s="5"/>
      <c r="X91" s="5"/>
      <c r="Y91" s="5"/>
      <c r="Z91" s="5"/>
      <c r="AA91" s="10"/>
      <c r="AB91" s="8"/>
      <c r="AC91" s="5"/>
      <c r="AD91" s="5"/>
      <c r="AE91" s="5"/>
      <c r="AF91" s="5"/>
      <c r="AG91" s="5"/>
      <c r="AH91" s="5"/>
      <c r="AI91" s="6"/>
      <c r="AJ91" s="6"/>
      <c r="AK91" s="6"/>
    </row>
    <row r="92" spans="1:37" x14ac:dyDescent="0.35">
      <c r="A92" s="7"/>
      <c r="T92" s="8"/>
      <c r="U92" s="8"/>
      <c r="V92" s="8"/>
      <c r="W92" s="5"/>
      <c r="X92" s="5"/>
      <c r="Y92" s="5"/>
      <c r="Z92" s="5"/>
      <c r="AA92" s="10"/>
      <c r="AB92" s="8"/>
      <c r="AC92" s="5"/>
      <c r="AD92" s="5"/>
      <c r="AE92" s="5"/>
      <c r="AF92" s="5"/>
      <c r="AG92" s="5"/>
      <c r="AH92" s="5"/>
      <c r="AI92" s="6"/>
      <c r="AJ92" s="6"/>
      <c r="AK92" s="6"/>
    </row>
    <row r="93" spans="1:37" x14ac:dyDescent="0.35">
      <c r="A93" s="7"/>
      <c r="T93" s="8"/>
      <c r="U93" s="8"/>
      <c r="V93" s="8"/>
      <c r="W93" s="5"/>
      <c r="X93" s="5"/>
      <c r="Y93" s="5"/>
      <c r="Z93" s="5"/>
      <c r="AA93" s="10"/>
      <c r="AB93" s="8"/>
      <c r="AC93" s="5"/>
      <c r="AD93" s="5"/>
      <c r="AE93" s="5"/>
      <c r="AF93" s="5"/>
      <c r="AG93" s="5"/>
      <c r="AH93" s="5"/>
      <c r="AI93" s="6"/>
      <c r="AJ93" s="6"/>
      <c r="AK93" s="6"/>
    </row>
    <row r="94" spans="1:37" x14ac:dyDescent="0.35">
      <c r="A94" s="7"/>
      <c r="T94" s="8"/>
      <c r="U94" s="8"/>
      <c r="V94" s="8"/>
      <c r="W94" s="5"/>
      <c r="X94" s="5"/>
      <c r="Y94" s="5"/>
      <c r="Z94" s="5"/>
      <c r="AA94" s="10"/>
      <c r="AB94" s="8"/>
      <c r="AC94" s="5"/>
      <c r="AD94" s="5"/>
      <c r="AE94" s="5"/>
      <c r="AF94" s="5"/>
      <c r="AG94" s="5"/>
      <c r="AH94" s="5"/>
      <c r="AI94" s="6"/>
      <c r="AJ94" s="6"/>
      <c r="AK94" s="6"/>
    </row>
    <row r="95" spans="1:37" x14ac:dyDescent="0.35">
      <c r="A95" s="7"/>
      <c r="T95" s="8"/>
      <c r="U95" s="8"/>
      <c r="V95" s="8"/>
      <c r="W95" s="5"/>
      <c r="X95" s="5"/>
      <c r="Y95" s="5"/>
      <c r="Z95" s="5"/>
      <c r="AA95" s="10"/>
      <c r="AB95" s="8"/>
      <c r="AC95" s="5"/>
      <c r="AD95" s="5"/>
      <c r="AE95" s="5"/>
      <c r="AF95" s="5"/>
      <c r="AG95" s="5"/>
      <c r="AH95" s="5"/>
      <c r="AI95" s="6"/>
      <c r="AJ95" s="6"/>
      <c r="AK95" s="6"/>
    </row>
    <row r="96" spans="1:37" x14ac:dyDescent="0.35">
      <c r="A96" s="7"/>
      <c r="T96" s="8"/>
      <c r="U96" s="8"/>
      <c r="V96" s="8"/>
      <c r="W96" s="5"/>
      <c r="X96" s="5"/>
      <c r="Y96" s="5"/>
      <c r="Z96" s="5"/>
      <c r="AA96" s="10"/>
      <c r="AB96" s="8"/>
      <c r="AC96" s="5"/>
      <c r="AD96" s="5"/>
      <c r="AE96" s="5"/>
      <c r="AF96" s="5"/>
      <c r="AG96" s="5"/>
      <c r="AH96" s="5"/>
      <c r="AI96" s="6"/>
      <c r="AJ96" s="6"/>
      <c r="AK96" s="6"/>
    </row>
    <row r="97" spans="1:37" x14ac:dyDescent="0.35">
      <c r="A97" s="7"/>
      <c r="T97" s="8"/>
      <c r="U97" s="8"/>
      <c r="V97" s="8"/>
      <c r="W97" s="5"/>
      <c r="X97" s="5"/>
      <c r="Y97" s="5"/>
      <c r="Z97" s="5"/>
      <c r="AA97" s="10"/>
      <c r="AB97" s="8"/>
      <c r="AC97" s="5"/>
      <c r="AD97" s="5"/>
      <c r="AE97" s="5"/>
      <c r="AF97" s="5"/>
      <c r="AG97" s="5"/>
      <c r="AH97" s="5"/>
      <c r="AI97" s="6"/>
      <c r="AJ97" s="6"/>
      <c r="AK97" s="6"/>
    </row>
    <row r="98" spans="1:37" x14ac:dyDescent="0.35">
      <c r="A98" s="7"/>
      <c r="T98" s="8"/>
      <c r="U98" s="8"/>
      <c r="V98" s="8"/>
      <c r="W98" s="5"/>
      <c r="X98" s="5"/>
      <c r="Y98" s="5"/>
      <c r="Z98" s="5"/>
      <c r="AA98" s="10"/>
      <c r="AB98" s="8"/>
      <c r="AC98" s="5"/>
      <c r="AD98" s="5"/>
      <c r="AE98" s="5"/>
      <c r="AF98" s="5"/>
      <c r="AG98" s="5"/>
      <c r="AH98" s="5"/>
      <c r="AI98" s="6"/>
      <c r="AJ98" s="6"/>
      <c r="AK98" s="6"/>
    </row>
    <row r="99" spans="1:37" x14ac:dyDescent="0.35">
      <c r="A99" s="7"/>
      <c r="T99" s="8"/>
      <c r="U99" s="8"/>
      <c r="V99" s="8"/>
      <c r="W99" s="5"/>
      <c r="X99" s="5"/>
      <c r="Y99" s="5"/>
      <c r="Z99" s="5"/>
      <c r="AA99" s="10"/>
      <c r="AB99" s="8"/>
      <c r="AC99" s="5"/>
      <c r="AD99" s="5"/>
      <c r="AE99" s="5"/>
      <c r="AF99" s="5"/>
      <c r="AG99" s="5"/>
      <c r="AH99" s="5"/>
      <c r="AI99" s="6"/>
      <c r="AJ99" s="6"/>
      <c r="AK99" s="6"/>
    </row>
    <row r="100" spans="1:37" x14ac:dyDescent="0.35">
      <c r="A100" s="7"/>
      <c r="T100" s="8"/>
      <c r="U100" s="8"/>
      <c r="V100" s="8"/>
      <c r="W100" s="5"/>
      <c r="X100" s="5"/>
      <c r="Y100" s="5"/>
      <c r="Z100" s="5"/>
      <c r="AA100" s="10"/>
      <c r="AB100" s="8"/>
      <c r="AC100" s="5"/>
      <c r="AD100" s="5"/>
      <c r="AE100" s="5"/>
      <c r="AF100" s="5"/>
      <c r="AG100" s="5"/>
      <c r="AH100" s="5"/>
      <c r="AI100" s="6"/>
      <c r="AJ100" s="6"/>
      <c r="AK100" s="6"/>
    </row>
    <row r="101" spans="1:37" x14ac:dyDescent="0.35">
      <c r="A101" s="7"/>
      <c r="T101" s="8"/>
      <c r="U101" s="8"/>
      <c r="V101" s="8"/>
      <c r="W101" s="5"/>
      <c r="X101" s="5"/>
      <c r="Y101" s="5"/>
      <c r="Z101" s="5"/>
      <c r="AA101" s="10"/>
      <c r="AB101" s="8"/>
      <c r="AC101" s="5"/>
      <c r="AD101" s="5"/>
      <c r="AE101" s="5"/>
      <c r="AF101" s="5"/>
      <c r="AG101" s="5"/>
      <c r="AH101" s="5"/>
      <c r="AI101" s="6"/>
      <c r="AJ101" s="6"/>
      <c r="AK101" s="6"/>
    </row>
    <row r="102" spans="1:37" x14ac:dyDescent="0.35">
      <c r="A102" s="7"/>
      <c r="T102" s="8"/>
      <c r="U102" s="8"/>
      <c r="V102" s="8"/>
      <c r="W102" s="5"/>
      <c r="X102" s="5"/>
      <c r="Y102" s="5"/>
      <c r="Z102" s="5"/>
      <c r="AA102" s="10"/>
      <c r="AB102" s="8"/>
      <c r="AC102" s="5"/>
      <c r="AD102" s="5"/>
      <c r="AE102" s="5"/>
      <c r="AF102" s="5"/>
      <c r="AG102" s="5"/>
      <c r="AH102" s="5"/>
      <c r="AI102" s="6"/>
      <c r="AJ102" s="6"/>
      <c r="AK102" s="6"/>
    </row>
    <row r="103" spans="1:37" x14ac:dyDescent="0.35">
      <c r="A103" s="7"/>
      <c r="T103" s="8"/>
      <c r="U103" s="8"/>
      <c r="V103" s="8"/>
      <c r="W103" s="5"/>
      <c r="X103" s="5"/>
      <c r="Y103" s="5"/>
      <c r="Z103" s="5"/>
      <c r="AA103" s="10"/>
      <c r="AB103" s="8"/>
      <c r="AC103" s="5"/>
      <c r="AD103" s="5"/>
      <c r="AE103" s="5"/>
      <c r="AF103" s="5"/>
      <c r="AG103" s="5"/>
      <c r="AH103" s="5"/>
      <c r="AI103" s="6"/>
      <c r="AJ103" s="6"/>
      <c r="AK103" s="6"/>
    </row>
    <row r="104" spans="1:37" x14ac:dyDescent="0.35">
      <c r="A104" s="7"/>
      <c r="T104" s="8"/>
      <c r="U104" s="8"/>
      <c r="V104" s="8"/>
      <c r="W104" s="5"/>
      <c r="X104" s="5"/>
      <c r="Y104" s="5"/>
      <c r="Z104" s="5"/>
      <c r="AA104" s="10"/>
      <c r="AB104" s="8"/>
      <c r="AC104" s="5"/>
      <c r="AD104" s="5"/>
      <c r="AE104" s="5"/>
      <c r="AF104" s="5"/>
      <c r="AG104" s="5"/>
      <c r="AH104" s="5"/>
      <c r="AI104" s="6"/>
      <c r="AJ104" s="6"/>
      <c r="AK104" s="6"/>
    </row>
    <row r="105" spans="1:37" x14ac:dyDescent="0.35">
      <c r="A105" s="7"/>
      <c r="T105" s="8"/>
      <c r="U105" s="8"/>
      <c r="V105" s="8"/>
      <c r="W105" s="5"/>
      <c r="X105" s="5"/>
      <c r="Y105" s="5"/>
      <c r="Z105" s="5"/>
      <c r="AA105" s="10"/>
      <c r="AB105" s="8"/>
      <c r="AC105" s="5"/>
      <c r="AD105" s="5"/>
      <c r="AE105" s="5"/>
      <c r="AF105" s="5"/>
      <c r="AG105" s="5"/>
      <c r="AH105" s="5"/>
      <c r="AI105" s="6"/>
      <c r="AJ105" s="6"/>
      <c r="AK105" s="6"/>
    </row>
    <row r="106" spans="1:37" x14ac:dyDescent="0.35">
      <c r="A106" s="7"/>
      <c r="T106" s="8"/>
      <c r="U106" s="8"/>
      <c r="V106" s="8"/>
      <c r="W106" s="5"/>
      <c r="X106" s="5"/>
      <c r="Y106" s="5"/>
      <c r="Z106" s="5"/>
      <c r="AA106" s="10"/>
      <c r="AB106" s="8"/>
      <c r="AC106" s="5"/>
      <c r="AD106" s="5"/>
      <c r="AE106" s="5"/>
      <c r="AF106" s="5"/>
      <c r="AG106" s="5"/>
      <c r="AH106" s="5"/>
      <c r="AI106" s="6"/>
      <c r="AJ106" s="6"/>
      <c r="AK106" s="6"/>
    </row>
    <row r="107" spans="1:37" x14ac:dyDescent="0.35">
      <c r="A107" s="7"/>
      <c r="T107" s="8"/>
      <c r="U107" s="8"/>
      <c r="V107" s="8"/>
      <c r="W107" s="5"/>
      <c r="X107" s="5"/>
      <c r="Y107" s="5"/>
      <c r="Z107" s="5"/>
      <c r="AA107" s="10"/>
      <c r="AB107" s="8"/>
      <c r="AC107" s="5"/>
      <c r="AD107" s="5"/>
      <c r="AE107" s="5"/>
      <c r="AF107" s="5"/>
      <c r="AG107" s="5"/>
      <c r="AH107" s="5"/>
      <c r="AI107" s="6"/>
      <c r="AJ107" s="6"/>
      <c r="AK107" s="6"/>
    </row>
    <row r="108" spans="1:37" x14ac:dyDescent="0.35">
      <c r="A108" s="7"/>
      <c r="T108" s="8"/>
      <c r="U108" s="8"/>
      <c r="V108" s="8"/>
      <c r="W108" s="5"/>
      <c r="X108" s="5"/>
      <c r="Y108" s="5"/>
      <c r="Z108" s="5"/>
      <c r="AA108" s="10"/>
      <c r="AB108" s="8"/>
      <c r="AC108" s="5"/>
      <c r="AD108" s="5"/>
      <c r="AE108" s="5"/>
      <c r="AF108" s="5"/>
      <c r="AG108" s="5"/>
      <c r="AH108" s="5"/>
      <c r="AI108" s="6"/>
      <c r="AJ108" s="6"/>
      <c r="AK108" s="6"/>
    </row>
    <row r="109" spans="1:37" x14ac:dyDescent="0.35">
      <c r="A109" s="7"/>
      <c r="T109" s="8"/>
      <c r="U109" s="8"/>
      <c r="V109" s="8"/>
      <c r="W109" s="5"/>
      <c r="X109" s="5"/>
      <c r="Y109" s="5"/>
      <c r="Z109" s="5"/>
      <c r="AA109" s="10"/>
      <c r="AB109" s="8"/>
      <c r="AC109" s="5"/>
      <c r="AD109" s="5"/>
      <c r="AE109" s="5"/>
      <c r="AF109" s="5"/>
      <c r="AG109" s="5"/>
      <c r="AH109" s="5"/>
      <c r="AI109" s="6"/>
      <c r="AJ109" s="6"/>
      <c r="AK109" s="6"/>
    </row>
    <row r="110" spans="1:37" x14ac:dyDescent="0.35">
      <c r="A110" s="7"/>
      <c r="T110" s="8"/>
      <c r="U110" s="8"/>
      <c r="V110" s="8"/>
      <c r="W110" s="5"/>
      <c r="X110" s="5"/>
      <c r="Y110" s="5"/>
      <c r="Z110" s="5"/>
      <c r="AA110" s="10"/>
      <c r="AB110" s="8"/>
      <c r="AC110" s="5"/>
      <c r="AD110" s="5"/>
      <c r="AE110" s="5"/>
      <c r="AF110" s="5"/>
      <c r="AG110" s="5"/>
      <c r="AH110" s="5"/>
      <c r="AI110" s="6"/>
      <c r="AJ110" s="6"/>
      <c r="AK110" s="6"/>
    </row>
    <row r="111" spans="1:37" x14ac:dyDescent="0.35">
      <c r="A111" s="7"/>
      <c r="T111" s="5"/>
      <c r="U111" s="5"/>
      <c r="V111" s="5"/>
      <c r="W111" s="5"/>
      <c r="X111" s="5"/>
      <c r="Y111" s="5"/>
      <c r="Z111" s="5"/>
      <c r="AA111" s="10"/>
      <c r="AB111" s="5"/>
      <c r="AC111" s="5"/>
      <c r="AD111" s="5"/>
      <c r="AE111" s="5"/>
      <c r="AF111" s="5"/>
      <c r="AG111" s="5"/>
      <c r="AH111" s="5"/>
      <c r="AI111" s="6"/>
      <c r="AJ111" s="6"/>
      <c r="AK111" s="6"/>
    </row>
    <row r="112" spans="1:37" x14ac:dyDescent="0.35">
      <c r="A112" s="7"/>
      <c r="T112" s="5"/>
      <c r="U112" s="5"/>
      <c r="V112" s="5"/>
      <c r="W112" s="5"/>
      <c r="X112" s="5"/>
      <c r="Y112" s="5"/>
      <c r="Z112" s="5"/>
      <c r="AA112" s="10"/>
      <c r="AB112" s="5"/>
      <c r="AC112" s="5"/>
      <c r="AD112" s="5"/>
      <c r="AE112" s="5"/>
      <c r="AF112" s="5"/>
      <c r="AG112" s="5"/>
      <c r="AH112" s="5"/>
      <c r="AI112" s="6"/>
      <c r="AJ112" s="6"/>
      <c r="AK112" s="6"/>
    </row>
    <row r="113" spans="1:37" x14ac:dyDescent="0.35">
      <c r="A113" s="7"/>
      <c r="T113" s="5"/>
      <c r="U113" s="5"/>
      <c r="V113" s="5"/>
      <c r="W113" s="5"/>
      <c r="X113" s="5"/>
      <c r="Y113" s="5"/>
      <c r="Z113" s="5"/>
      <c r="AA113" s="10"/>
      <c r="AB113" s="5"/>
      <c r="AC113" s="5"/>
      <c r="AD113" s="5"/>
      <c r="AE113" s="5"/>
      <c r="AF113" s="5"/>
      <c r="AG113" s="5"/>
      <c r="AH113" s="5"/>
      <c r="AI113" s="6"/>
      <c r="AJ113" s="6"/>
      <c r="AK113" s="6"/>
    </row>
    <row r="114" spans="1:37" x14ac:dyDescent="0.35">
      <c r="A114" s="7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6"/>
      <c r="AJ114" s="6"/>
      <c r="AK114" s="6"/>
    </row>
    <row r="115" spans="1:37" x14ac:dyDescent="0.35">
      <c r="A115" s="11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6"/>
      <c r="AJ115" s="6"/>
      <c r="AK115" s="6"/>
    </row>
    <row r="116" spans="1:37" x14ac:dyDescent="0.35">
      <c r="A116" s="11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6"/>
      <c r="AJ116" s="6"/>
      <c r="AK116" s="6"/>
    </row>
    <row r="117" spans="1:37" x14ac:dyDescent="0.35">
      <c r="A117" s="11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6"/>
      <c r="AJ117" s="6"/>
      <c r="AK117" s="6"/>
    </row>
    <row r="118" spans="1:37" x14ac:dyDescent="0.35">
      <c r="A118" s="11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6"/>
      <c r="AJ118" s="6"/>
      <c r="AK118" s="6"/>
    </row>
    <row r="119" spans="1:37" x14ac:dyDescent="0.35">
      <c r="A119" s="11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6"/>
      <c r="AJ119" s="6"/>
      <c r="AK119" s="6"/>
    </row>
    <row r="120" spans="1:37" x14ac:dyDescent="0.35">
      <c r="A120" s="11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6"/>
      <c r="AJ120" s="6"/>
      <c r="AK120" s="6"/>
    </row>
    <row r="121" spans="1:37" x14ac:dyDescent="0.35">
      <c r="A121" s="11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6"/>
      <c r="AJ121" s="6"/>
      <c r="AK121" s="6"/>
    </row>
    <row r="122" spans="1:37" x14ac:dyDescent="0.35">
      <c r="A122" s="11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6"/>
      <c r="AJ122" s="6"/>
      <c r="AK122" s="6"/>
    </row>
    <row r="123" spans="1:37" x14ac:dyDescent="0.35">
      <c r="A123" s="11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6"/>
      <c r="AJ123" s="6"/>
      <c r="AK123" s="6"/>
    </row>
    <row r="124" spans="1:37" x14ac:dyDescent="0.35">
      <c r="A124" s="11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6"/>
      <c r="AJ124" s="6"/>
      <c r="AK124" s="6"/>
    </row>
    <row r="125" spans="1:37" x14ac:dyDescent="0.35">
      <c r="A125" s="11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6"/>
      <c r="AJ125" s="6"/>
      <c r="AK125" s="6"/>
    </row>
    <row r="126" spans="1:37" x14ac:dyDescent="0.35">
      <c r="A126" s="11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6"/>
      <c r="AJ126" s="6"/>
      <c r="AK126" s="6"/>
    </row>
    <row r="127" spans="1:37" x14ac:dyDescent="0.35">
      <c r="A127" s="11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6"/>
      <c r="AJ127" s="6"/>
      <c r="AK127" s="6"/>
    </row>
    <row r="128" spans="1:37" x14ac:dyDescent="0.35">
      <c r="A128" s="11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6"/>
      <c r="AJ128" s="6"/>
      <c r="AK128" s="6"/>
    </row>
    <row r="129" spans="20:37" x14ac:dyDescent="0.35"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6"/>
      <c r="AJ129" s="6"/>
      <c r="AK129" s="6"/>
    </row>
    <row r="130" spans="20:37" x14ac:dyDescent="0.35">
      <c r="X130" s="5"/>
      <c r="AH130" s="5"/>
      <c r="AI130" s="6"/>
      <c r="AJ130" s="6"/>
      <c r="AK130" s="6"/>
    </row>
    <row r="131" spans="20:37" x14ac:dyDescent="0.35">
      <c r="AI131" s="6"/>
      <c r="AJ131" s="6"/>
      <c r="AK131" s="6"/>
    </row>
    <row r="132" spans="20:37" x14ac:dyDescent="0.35">
      <c r="AI132" s="6"/>
      <c r="AJ132" s="6"/>
      <c r="AK132" s="6"/>
    </row>
    <row r="133" spans="20:37" x14ac:dyDescent="0.35">
      <c r="AI133" s="6"/>
      <c r="AJ133" s="6"/>
      <c r="AK133" s="6"/>
    </row>
    <row r="134" spans="20:37" x14ac:dyDescent="0.35">
      <c r="AI134" s="6"/>
      <c r="AJ134" s="6"/>
      <c r="AK134" s="6"/>
    </row>
    <row r="135" spans="20:37" x14ac:dyDescent="0.35">
      <c r="AI135" s="6"/>
      <c r="AJ135" s="6"/>
      <c r="AK135" s="6"/>
    </row>
    <row r="136" spans="20:37" x14ac:dyDescent="0.35">
      <c r="AI136" s="6"/>
      <c r="AJ136" s="6"/>
      <c r="AK136" s="6"/>
    </row>
    <row r="137" spans="20:37" x14ac:dyDescent="0.35">
      <c r="AI137" s="6"/>
      <c r="AJ137" s="6"/>
      <c r="AK137" s="6"/>
    </row>
    <row r="138" spans="20:37" x14ac:dyDescent="0.35">
      <c r="AI138" s="6"/>
      <c r="AJ138" s="6"/>
      <c r="AK138" s="6"/>
    </row>
    <row r="139" spans="20:37" x14ac:dyDescent="0.35">
      <c r="AI139" s="6"/>
      <c r="AJ139" s="6"/>
      <c r="AK139" s="6"/>
    </row>
    <row r="140" spans="20:37" x14ac:dyDescent="0.35">
      <c r="AI140" s="6"/>
      <c r="AJ140" s="6"/>
      <c r="AK140" s="6"/>
    </row>
    <row r="141" spans="20:37" x14ac:dyDescent="0.35">
      <c r="AI141" s="6"/>
      <c r="AJ141" s="6"/>
      <c r="AK141" s="6"/>
    </row>
    <row r="142" spans="20:37" x14ac:dyDescent="0.35">
      <c r="AI142" s="6"/>
      <c r="AJ142" s="6"/>
      <c r="AK142" s="6"/>
    </row>
    <row r="143" spans="20:37" x14ac:dyDescent="0.35">
      <c r="AI143" s="6"/>
      <c r="AJ143" s="6"/>
      <c r="AK143" s="6"/>
    </row>
    <row r="144" spans="20:37" x14ac:dyDescent="0.35">
      <c r="AI144" s="6"/>
      <c r="AJ144" s="6"/>
      <c r="AK144" s="6"/>
    </row>
    <row r="145" spans="35:37" x14ac:dyDescent="0.35">
      <c r="AI145" s="6"/>
      <c r="AJ145" s="6"/>
      <c r="AK145" s="6"/>
    </row>
    <row r="146" spans="35:37" x14ac:dyDescent="0.35">
      <c r="AI146" s="6"/>
      <c r="AJ146" s="6"/>
      <c r="AK146" s="6"/>
    </row>
    <row r="147" spans="35:37" x14ac:dyDescent="0.35">
      <c r="AI147" s="6"/>
      <c r="AJ147" s="6"/>
      <c r="AK147" s="6"/>
    </row>
    <row r="148" spans="35:37" x14ac:dyDescent="0.35">
      <c r="AI148" s="6"/>
      <c r="AJ148" s="6"/>
      <c r="AK148" s="6"/>
    </row>
    <row r="149" spans="35:37" x14ac:dyDescent="0.35">
      <c r="AI149" s="6"/>
      <c r="AJ149" s="6"/>
      <c r="AK149" s="6"/>
    </row>
    <row r="150" spans="35:37" x14ac:dyDescent="0.35">
      <c r="AI150" s="6"/>
      <c r="AJ150" s="6"/>
      <c r="AK150" s="6"/>
    </row>
    <row r="151" spans="35:37" x14ac:dyDescent="0.35">
      <c r="AI151" s="6"/>
      <c r="AJ151" s="6"/>
      <c r="AK151" s="6"/>
    </row>
    <row r="152" spans="35:37" x14ac:dyDescent="0.35">
      <c r="AI152" s="6"/>
      <c r="AJ152" s="6"/>
      <c r="AK152" s="6"/>
    </row>
    <row r="153" spans="35:37" x14ac:dyDescent="0.35">
      <c r="AI153" s="6"/>
      <c r="AJ153" s="6"/>
      <c r="AK153" s="6"/>
    </row>
    <row r="154" spans="35:37" x14ac:dyDescent="0.35">
      <c r="AI154" s="6"/>
      <c r="AJ154" s="6"/>
      <c r="AK154" s="6"/>
    </row>
    <row r="155" spans="35:37" x14ac:dyDescent="0.35">
      <c r="AI155" s="6"/>
      <c r="AJ155" s="6"/>
      <c r="AK155" s="6"/>
    </row>
    <row r="156" spans="35:37" x14ac:dyDescent="0.35">
      <c r="AI156" s="6"/>
      <c r="AJ156" s="6"/>
      <c r="AK156" s="6"/>
    </row>
  </sheetData>
  <mergeCells count="5">
    <mergeCell ref="AD1:AE1"/>
    <mergeCell ref="AF1:AH1"/>
    <mergeCell ref="B1:L1"/>
    <mergeCell ref="M1:S1"/>
    <mergeCell ref="T1:AC1"/>
  </mergeCells>
  <conditionalFormatting sqref="J5:J9 J11:J14">
    <cfRule type="containsText" dxfId="0" priority="1" operator="containsText" text=",,">
      <formula>NOT(ISERROR(SEARCH(",,",J5)))</formula>
    </cfRule>
  </conditionalFormatting>
  <pageMargins left="0.7" right="0.7" top="0.75" bottom="0.75" header="0.3" footer="0.3"/>
  <pageSetup paperSize="8" orientation="landscape" r:id="rId1"/>
  <headerFooter>
    <oddFooter>&amp;C_x000D_&amp;1#&amp;"Calibri"&amp;15&amp;KA80000 * Highly Confidential *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82"/>
  <sheetViews>
    <sheetView showGridLines="0" zoomScale="59" zoomScaleNormal="59" workbookViewId="0">
      <pane xSplit="1" ySplit="2" topLeftCell="Q3" activePane="bottomRight" state="frozen"/>
      <selection pane="topRight" activeCell="F1" sqref="F1"/>
      <selection pane="bottomLeft" activeCell="A12" sqref="A12"/>
      <selection pane="bottomRight" activeCell="T25" sqref="T25"/>
    </sheetView>
  </sheetViews>
  <sheetFormatPr defaultColWidth="9" defaultRowHeight="14" x14ac:dyDescent="0.3"/>
  <cols>
    <col min="1" max="1" width="20.54296875" style="16" customWidth="1"/>
    <col min="2" max="3" width="20.54296875" style="21" customWidth="1"/>
    <col min="4" max="4" width="24.54296875" style="21" bestFit="1" customWidth="1"/>
    <col min="5" max="8" width="20.54296875" style="14" customWidth="1"/>
    <col min="9" max="14" width="20.54296875" style="16" customWidth="1"/>
    <col min="15" max="25" width="20.54296875" style="21" customWidth="1"/>
    <col min="26" max="16384" width="9" style="17"/>
  </cols>
  <sheetData>
    <row r="1" spans="1:25" s="26" customFormat="1" x14ac:dyDescent="0.3">
      <c r="A1" s="164"/>
      <c r="B1" s="239" t="s">
        <v>137</v>
      </c>
      <c r="C1" s="240"/>
      <c r="D1" s="223"/>
      <c r="E1" s="241" t="s">
        <v>138</v>
      </c>
      <c r="F1" s="242"/>
      <c r="G1" s="242"/>
      <c r="H1" s="243"/>
      <c r="I1" s="241" t="s">
        <v>139</v>
      </c>
      <c r="J1" s="242"/>
      <c r="K1" s="242"/>
      <c r="L1" s="243"/>
      <c r="M1" s="244" t="s">
        <v>135</v>
      </c>
      <c r="N1" s="245"/>
      <c r="O1" s="245"/>
      <c r="P1" s="245"/>
      <c r="Q1" s="245"/>
      <c r="R1" s="245"/>
      <c r="S1" s="245"/>
      <c r="T1" s="245"/>
      <c r="U1" s="245"/>
      <c r="V1" s="227" t="s">
        <v>151</v>
      </c>
      <c r="W1" s="228"/>
      <c r="X1" s="228"/>
      <c r="Y1" s="228"/>
    </row>
    <row r="2" spans="1:25" s="26" customFormat="1" ht="42.5" thickBot="1" x14ac:dyDescent="0.35">
      <c r="A2" s="165" t="s">
        <v>10</v>
      </c>
      <c r="B2" s="191" t="s">
        <v>24</v>
      </c>
      <c r="C2" s="192" t="s">
        <v>25</v>
      </c>
      <c r="D2" s="193" t="s">
        <v>30</v>
      </c>
      <c r="E2" s="169" t="s">
        <v>11</v>
      </c>
      <c r="F2" s="170" t="s">
        <v>12</v>
      </c>
      <c r="G2" s="170" t="s">
        <v>13</v>
      </c>
      <c r="H2" s="171" t="s">
        <v>14</v>
      </c>
      <c r="I2" s="194" t="s">
        <v>129</v>
      </c>
      <c r="J2" s="195" t="s">
        <v>130</v>
      </c>
      <c r="K2" s="195" t="s">
        <v>122</v>
      </c>
      <c r="L2" s="196" t="s">
        <v>123</v>
      </c>
      <c r="M2" s="194" t="s">
        <v>122</v>
      </c>
      <c r="N2" s="195" t="s">
        <v>123</v>
      </c>
      <c r="O2" s="170" t="s">
        <v>29</v>
      </c>
      <c r="P2" s="170" t="s">
        <v>31</v>
      </c>
      <c r="Q2" s="170" t="s">
        <v>32</v>
      </c>
      <c r="R2" s="170" t="s">
        <v>33</v>
      </c>
      <c r="S2" s="170" t="s">
        <v>36</v>
      </c>
      <c r="T2" s="170" t="s">
        <v>34</v>
      </c>
      <c r="U2" s="170" t="s">
        <v>35</v>
      </c>
      <c r="V2" s="172" t="s">
        <v>124</v>
      </c>
      <c r="W2" s="173" t="s">
        <v>125</v>
      </c>
      <c r="X2" s="173" t="s">
        <v>127</v>
      </c>
      <c r="Y2" s="173" t="s">
        <v>126</v>
      </c>
    </row>
    <row r="3" spans="1:25" x14ac:dyDescent="0.3">
      <c r="A3" s="175">
        <v>830</v>
      </c>
      <c r="B3" s="176">
        <v>255</v>
      </c>
      <c r="C3" s="177">
        <v>1.075</v>
      </c>
      <c r="D3" s="179">
        <v>3500</v>
      </c>
      <c r="E3" s="180">
        <v>2</v>
      </c>
      <c r="F3" s="181">
        <v>70</v>
      </c>
      <c r="G3" s="181">
        <v>20</v>
      </c>
      <c r="H3" s="182">
        <v>20</v>
      </c>
      <c r="I3" s="183">
        <v>1.0649999999999999</v>
      </c>
      <c r="J3" s="184">
        <v>1.052</v>
      </c>
      <c r="K3" s="181">
        <v>260</v>
      </c>
      <c r="L3" s="182">
        <v>99</v>
      </c>
      <c r="M3" s="185">
        <v>260</v>
      </c>
      <c r="N3" s="181">
        <v>99</v>
      </c>
      <c r="O3" s="181">
        <v>33986</v>
      </c>
      <c r="P3" s="156">
        <v>19</v>
      </c>
      <c r="Q3" s="184">
        <v>1.06</v>
      </c>
      <c r="R3" s="156">
        <v>5.26</v>
      </c>
      <c r="S3" s="186">
        <v>34</v>
      </c>
      <c r="T3" s="156">
        <v>50</v>
      </c>
      <c r="U3" s="187">
        <v>68</v>
      </c>
      <c r="V3" s="188">
        <v>1</v>
      </c>
      <c r="W3" s="189">
        <v>3.48</v>
      </c>
      <c r="X3" s="189">
        <v>8.3000000000000007</v>
      </c>
      <c r="Y3" s="190">
        <v>0.41</v>
      </c>
    </row>
    <row r="4" spans="1:25" x14ac:dyDescent="0.3">
      <c r="A4" s="140">
        <v>831</v>
      </c>
      <c r="B4" s="59">
        <v>268</v>
      </c>
      <c r="C4" s="60">
        <v>1.0720000000000001</v>
      </c>
      <c r="D4" s="58">
        <v>3500</v>
      </c>
      <c r="E4" s="82">
        <v>2.2000000000000002</v>
      </c>
      <c r="F4" s="83">
        <v>70</v>
      </c>
      <c r="G4" s="83">
        <v>20</v>
      </c>
      <c r="H4" s="84">
        <v>20</v>
      </c>
      <c r="I4" s="85">
        <v>1.0629999999999999</v>
      </c>
      <c r="J4" s="86">
        <v>1.0509999999999999</v>
      </c>
      <c r="K4" s="83">
        <v>265</v>
      </c>
      <c r="L4" s="84">
        <v>99</v>
      </c>
      <c r="M4" s="87">
        <v>265</v>
      </c>
      <c r="N4" s="83">
        <v>99</v>
      </c>
      <c r="O4" s="83">
        <v>33988</v>
      </c>
      <c r="P4" s="73">
        <v>19</v>
      </c>
      <c r="Q4" s="86">
        <v>1.06</v>
      </c>
      <c r="R4" s="73">
        <v>5.28</v>
      </c>
      <c r="S4" s="88">
        <v>33</v>
      </c>
      <c r="T4" s="73">
        <v>52</v>
      </c>
      <c r="U4" s="77">
        <v>70</v>
      </c>
      <c r="V4" s="127">
        <v>1</v>
      </c>
      <c r="W4" s="111">
        <v>3.47</v>
      </c>
      <c r="X4" s="116">
        <v>8.3000000000000007</v>
      </c>
      <c r="Y4" s="116">
        <v>0.4</v>
      </c>
    </row>
    <row r="5" spans="1:25" x14ac:dyDescent="0.3">
      <c r="A5" s="140">
        <v>832</v>
      </c>
      <c r="B5" s="59">
        <v>265</v>
      </c>
      <c r="C5" s="60">
        <v>1.0720000000000001</v>
      </c>
      <c r="D5" s="58">
        <v>3500</v>
      </c>
      <c r="E5" s="82">
        <v>2</v>
      </c>
      <c r="F5" s="83">
        <v>70</v>
      </c>
      <c r="G5" s="83">
        <v>20</v>
      </c>
      <c r="H5" s="84">
        <v>20</v>
      </c>
      <c r="I5" s="85">
        <v>1.0620000000000001</v>
      </c>
      <c r="J5" s="86">
        <v>1.052</v>
      </c>
      <c r="K5" s="83">
        <v>260</v>
      </c>
      <c r="L5" s="84">
        <v>99</v>
      </c>
      <c r="M5" s="87">
        <v>260</v>
      </c>
      <c r="N5" s="83">
        <v>99</v>
      </c>
      <c r="O5" s="83">
        <v>33981</v>
      </c>
      <c r="P5" s="73">
        <v>18</v>
      </c>
      <c r="Q5" s="86">
        <v>1.06</v>
      </c>
      <c r="R5" s="73">
        <v>5.31</v>
      </c>
      <c r="S5" s="88">
        <v>34</v>
      </c>
      <c r="T5" s="73">
        <v>52</v>
      </c>
      <c r="U5" s="77">
        <v>70</v>
      </c>
      <c r="V5" s="127">
        <v>1</v>
      </c>
      <c r="W5" s="111">
        <v>3.5</v>
      </c>
      <c r="X5" s="116">
        <v>8.3000000000000007</v>
      </c>
      <c r="Y5" s="116">
        <v>0.43</v>
      </c>
    </row>
    <row r="6" spans="1:25" x14ac:dyDescent="0.3">
      <c r="A6" s="140">
        <v>833</v>
      </c>
      <c r="B6" s="59">
        <v>270</v>
      </c>
      <c r="C6" s="60">
        <v>1.07</v>
      </c>
      <c r="D6" s="58">
        <v>3500</v>
      </c>
      <c r="E6" s="82">
        <v>2.2000000000000002</v>
      </c>
      <c r="F6" s="83">
        <v>71</v>
      </c>
      <c r="G6" s="83">
        <v>20</v>
      </c>
      <c r="H6" s="84">
        <v>20</v>
      </c>
      <c r="I6" s="89">
        <v>1.0589999999999999</v>
      </c>
      <c r="J6" s="86">
        <v>1.044</v>
      </c>
      <c r="K6" s="83">
        <v>255</v>
      </c>
      <c r="L6" s="84">
        <v>99</v>
      </c>
      <c r="M6" s="87">
        <v>255</v>
      </c>
      <c r="N6" s="83">
        <v>99</v>
      </c>
      <c r="O6" s="83">
        <v>33986</v>
      </c>
      <c r="P6" s="73">
        <v>19</v>
      </c>
      <c r="Q6" s="86">
        <v>1.06</v>
      </c>
      <c r="R6" s="73">
        <v>5.28</v>
      </c>
      <c r="S6" s="88">
        <v>34</v>
      </c>
      <c r="T6" s="73">
        <v>50</v>
      </c>
      <c r="U6" s="77">
        <v>72</v>
      </c>
      <c r="V6" s="127">
        <v>1</v>
      </c>
      <c r="W6" s="111">
        <v>3.49</v>
      </c>
      <c r="X6" s="116">
        <v>8.3000000000000007</v>
      </c>
      <c r="Y6" s="116">
        <v>0.41</v>
      </c>
    </row>
    <row r="7" spans="1:25" x14ac:dyDescent="0.3">
      <c r="A7" s="140">
        <v>834</v>
      </c>
      <c r="B7" s="59">
        <v>240</v>
      </c>
      <c r="C7" s="60">
        <v>1.075</v>
      </c>
      <c r="D7" s="58">
        <v>3500</v>
      </c>
      <c r="E7" s="82">
        <v>2</v>
      </c>
      <c r="F7" s="83">
        <v>70</v>
      </c>
      <c r="G7" s="83">
        <v>20</v>
      </c>
      <c r="H7" s="84">
        <v>20</v>
      </c>
      <c r="I7" s="89">
        <v>1.0620000000000001</v>
      </c>
      <c r="J7" s="86">
        <v>1.052</v>
      </c>
      <c r="K7" s="83">
        <v>270</v>
      </c>
      <c r="L7" s="84">
        <v>99</v>
      </c>
      <c r="M7" s="87">
        <v>270</v>
      </c>
      <c r="N7" s="83">
        <v>99</v>
      </c>
      <c r="O7" s="83">
        <v>33985</v>
      </c>
      <c r="P7" s="73">
        <v>18</v>
      </c>
      <c r="Q7" s="86">
        <v>1.06</v>
      </c>
      <c r="R7" s="73">
        <v>5.29</v>
      </c>
      <c r="S7" s="88">
        <v>33</v>
      </c>
      <c r="T7" s="73">
        <v>52</v>
      </c>
      <c r="U7" s="77">
        <v>72</v>
      </c>
      <c r="V7" s="127">
        <v>1</v>
      </c>
      <c r="W7" s="111">
        <v>3.52</v>
      </c>
      <c r="X7" s="116">
        <v>8.3000000000000007</v>
      </c>
      <c r="Y7" s="116">
        <v>0.48</v>
      </c>
    </row>
    <row r="8" spans="1:25" x14ac:dyDescent="0.3">
      <c r="A8" s="140">
        <v>835</v>
      </c>
      <c r="B8" s="59">
        <v>265</v>
      </c>
      <c r="C8" s="60">
        <v>1.071</v>
      </c>
      <c r="D8" s="58">
        <v>3500</v>
      </c>
      <c r="E8" s="82">
        <v>2.1</v>
      </c>
      <c r="F8" s="83">
        <v>70</v>
      </c>
      <c r="G8" s="83">
        <v>20</v>
      </c>
      <c r="H8" s="84">
        <v>20</v>
      </c>
      <c r="I8" s="89">
        <v>1.0649999999999999</v>
      </c>
      <c r="J8" s="86">
        <v>1.054</v>
      </c>
      <c r="K8" s="83">
        <v>260</v>
      </c>
      <c r="L8" s="84">
        <v>99</v>
      </c>
      <c r="M8" s="87">
        <v>260</v>
      </c>
      <c r="N8" s="83">
        <v>99</v>
      </c>
      <c r="O8" s="83">
        <v>33988</v>
      </c>
      <c r="P8" s="73">
        <v>19</v>
      </c>
      <c r="Q8" s="86">
        <v>1.06</v>
      </c>
      <c r="R8" s="73">
        <v>5.3</v>
      </c>
      <c r="S8" s="88">
        <v>34</v>
      </c>
      <c r="T8" s="75">
        <v>54</v>
      </c>
      <c r="U8" s="77">
        <v>70</v>
      </c>
      <c r="V8" s="127">
        <v>1</v>
      </c>
      <c r="W8" s="111">
        <v>3.42</v>
      </c>
      <c r="X8" s="116">
        <v>8.3000000000000007</v>
      </c>
      <c r="Y8" s="116">
        <v>0.46</v>
      </c>
    </row>
    <row r="9" spans="1:25" x14ac:dyDescent="0.3">
      <c r="A9" s="140">
        <v>836</v>
      </c>
      <c r="B9" s="59">
        <v>270</v>
      </c>
      <c r="C9" s="60">
        <v>1.069</v>
      </c>
      <c r="D9" s="58">
        <v>3500</v>
      </c>
      <c r="E9" s="82">
        <v>2</v>
      </c>
      <c r="F9" s="83">
        <v>70</v>
      </c>
      <c r="G9" s="83">
        <v>20</v>
      </c>
      <c r="H9" s="84">
        <v>20</v>
      </c>
      <c r="I9" s="89">
        <v>1.0629999999999999</v>
      </c>
      <c r="J9" s="90">
        <v>1.05</v>
      </c>
      <c r="K9" s="83">
        <v>270</v>
      </c>
      <c r="L9" s="84">
        <v>99</v>
      </c>
      <c r="M9" s="87">
        <v>270</v>
      </c>
      <c r="N9" s="83">
        <v>99</v>
      </c>
      <c r="O9" s="83">
        <v>33974</v>
      </c>
      <c r="P9" s="73">
        <v>19</v>
      </c>
      <c r="Q9" s="86">
        <v>1.0589999999999999</v>
      </c>
      <c r="R9" s="73">
        <v>5.25</v>
      </c>
      <c r="S9" s="88">
        <v>34</v>
      </c>
      <c r="T9" s="75">
        <v>50</v>
      </c>
      <c r="U9" s="77">
        <v>72</v>
      </c>
      <c r="V9" s="127">
        <v>1</v>
      </c>
      <c r="W9" s="111">
        <v>3.49</v>
      </c>
      <c r="X9" s="116">
        <v>8.3000000000000007</v>
      </c>
      <c r="Y9" s="116">
        <v>0.48</v>
      </c>
    </row>
    <row r="10" spans="1:25" x14ac:dyDescent="0.3">
      <c r="A10" s="140">
        <v>837</v>
      </c>
      <c r="B10" s="59">
        <v>240</v>
      </c>
      <c r="C10" s="60">
        <v>1.0720000000000001</v>
      </c>
      <c r="D10" s="58">
        <v>3500</v>
      </c>
      <c r="E10" s="82">
        <v>2.2000000000000002</v>
      </c>
      <c r="F10" s="83">
        <v>70</v>
      </c>
      <c r="G10" s="83">
        <v>20</v>
      </c>
      <c r="H10" s="84">
        <v>20</v>
      </c>
      <c r="I10" s="89">
        <v>1.0640000000000001</v>
      </c>
      <c r="J10" s="86">
        <v>1.054</v>
      </c>
      <c r="K10" s="83">
        <v>255</v>
      </c>
      <c r="L10" s="84">
        <v>99</v>
      </c>
      <c r="M10" s="87">
        <v>255</v>
      </c>
      <c r="N10" s="83">
        <v>99</v>
      </c>
      <c r="O10" s="83">
        <v>33983</v>
      </c>
      <c r="P10" s="73">
        <v>19</v>
      </c>
      <c r="Q10" s="86">
        <v>1.06</v>
      </c>
      <c r="R10" s="73">
        <v>5.33</v>
      </c>
      <c r="S10" s="88">
        <v>34</v>
      </c>
      <c r="T10" s="75">
        <v>52</v>
      </c>
      <c r="U10" s="77">
        <v>72</v>
      </c>
      <c r="V10" s="127">
        <v>1</v>
      </c>
      <c r="W10" s="111">
        <v>3.48</v>
      </c>
      <c r="X10" s="116">
        <v>8.1999999999999993</v>
      </c>
      <c r="Y10" s="116">
        <v>0.44</v>
      </c>
    </row>
    <row r="11" spans="1:25" x14ac:dyDescent="0.3">
      <c r="A11" s="140">
        <v>838</v>
      </c>
      <c r="B11" s="59">
        <v>233</v>
      </c>
      <c r="C11" s="60">
        <v>1.07</v>
      </c>
      <c r="D11" s="58">
        <v>3500</v>
      </c>
      <c r="E11" s="82">
        <v>2</v>
      </c>
      <c r="F11" s="83">
        <v>70</v>
      </c>
      <c r="G11" s="83">
        <v>20</v>
      </c>
      <c r="H11" s="84">
        <v>20</v>
      </c>
      <c r="I11" s="89">
        <v>1.0629999999999999</v>
      </c>
      <c r="J11" s="86">
        <v>1.05</v>
      </c>
      <c r="K11" s="83">
        <v>270</v>
      </c>
      <c r="L11" s="84">
        <v>99</v>
      </c>
      <c r="M11" s="87">
        <v>270</v>
      </c>
      <c r="N11" s="83">
        <v>99</v>
      </c>
      <c r="O11" s="83">
        <v>33988</v>
      </c>
      <c r="P11" s="73">
        <v>18</v>
      </c>
      <c r="Q11" s="86">
        <v>1.06</v>
      </c>
      <c r="R11" s="73">
        <v>5.29</v>
      </c>
      <c r="S11" s="88">
        <v>34</v>
      </c>
      <c r="T11" s="75">
        <v>52</v>
      </c>
      <c r="U11" s="77">
        <v>70</v>
      </c>
      <c r="V11" s="127">
        <v>1</v>
      </c>
      <c r="W11" s="111">
        <v>3.42</v>
      </c>
      <c r="X11" s="116">
        <v>8.3000000000000007</v>
      </c>
      <c r="Y11" s="116">
        <v>0.44</v>
      </c>
    </row>
    <row r="12" spans="1:25" x14ac:dyDescent="0.3">
      <c r="A12" s="140">
        <v>839</v>
      </c>
      <c r="B12" s="59">
        <v>250</v>
      </c>
      <c r="C12" s="60">
        <v>1.073</v>
      </c>
      <c r="D12" s="58">
        <v>3500</v>
      </c>
      <c r="E12" s="82">
        <v>2.1</v>
      </c>
      <c r="F12" s="83">
        <v>70</v>
      </c>
      <c r="G12" s="83">
        <v>20</v>
      </c>
      <c r="H12" s="84">
        <v>20</v>
      </c>
      <c r="I12" s="89">
        <v>1.0649999999999999</v>
      </c>
      <c r="J12" s="86">
        <v>1.052</v>
      </c>
      <c r="K12" s="83">
        <v>265</v>
      </c>
      <c r="L12" s="84">
        <v>99</v>
      </c>
      <c r="M12" s="87">
        <v>265</v>
      </c>
      <c r="N12" s="83">
        <v>99</v>
      </c>
      <c r="O12" s="83">
        <v>33985</v>
      </c>
      <c r="P12" s="73">
        <v>19</v>
      </c>
      <c r="Q12" s="86">
        <v>1.0580000000000001</v>
      </c>
      <c r="R12" s="73">
        <v>5.28</v>
      </c>
      <c r="S12" s="88">
        <v>34</v>
      </c>
      <c r="T12" s="75">
        <v>56</v>
      </c>
      <c r="U12" s="77">
        <v>72</v>
      </c>
      <c r="V12" s="127">
        <v>1</v>
      </c>
      <c r="W12" s="111">
        <v>3.46</v>
      </c>
      <c r="X12" s="116">
        <v>8.3000000000000007</v>
      </c>
      <c r="Y12" s="116">
        <v>0.39</v>
      </c>
    </row>
    <row r="13" spans="1:25" x14ac:dyDescent="0.3">
      <c r="A13" s="140">
        <v>840</v>
      </c>
      <c r="B13" s="59">
        <v>240</v>
      </c>
      <c r="C13" s="60">
        <v>1.071</v>
      </c>
      <c r="D13" s="58">
        <v>3500</v>
      </c>
      <c r="E13" s="82">
        <v>2</v>
      </c>
      <c r="F13" s="83">
        <v>70</v>
      </c>
      <c r="G13" s="83">
        <v>20</v>
      </c>
      <c r="H13" s="84">
        <v>20</v>
      </c>
      <c r="I13" s="89">
        <v>1.0649999999999999</v>
      </c>
      <c r="J13" s="86">
        <v>1.052</v>
      </c>
      <c r="K13" s="83">
        <v>260</v>
      </c>
      <c r="L13" s="84">
        <v>99</v>
      </c>
      <c r="M13" s="87">
        <v>260</v>
      </c>
      <c r="N13" s="83">
        <v>99</v>
      </c>
      <c r="O13" s="83">
        <v>33986</v>
      </c>
      <c r="P13" s="73">
        <v>19</v>
      </c>
      <c r="Q13" s="86">
        <v>1.06</v>
      </c>
      <c r="R13" s="73">
        <v>5.25</v>
      </c>
      <c r="S13" s="88">
        <v>34</v>
      </c>
      <c r="T13" s="75">
        <v>50</v>
      </c>
      <c r="U13" s="77">
        <v>70</v>
      </c>
      <c r="V13" s="127">
        <v>1</v>
      </c>
      <c r="W13" s="111">
        <v>3.41</v>
      </c>
      <c r="X13" s="116">
        <v>8.3000000000000007</v>
      </c>
      <c r="Y13" s="116">
        <v>0.47</v>
      </c>
    </row>
    <row r="14" spans="1:25" x14ac:dyDescent="0.3">
      <c r="A14" s="140">
        <v>841</v>
      </c>
      <c r="B14" s="59">
        <v>233</v>
      </c>
      <c r="C14" s="60">
        <v>1.075</v>
      </c>
      <c r="D14" s="58">
        <v>3500</v>
      </c>
      <c r="E14" s="82">
        <v>2</v>
      </c>
      <c r="F14" s="83">
        <v>70</v>
      </c>
      <c r="G14" s="83">
        <v>20</v>
      </c>
      <c r="H14" s="84">
        <v>20</v>
      </c>
      <c r="I14" s="89">
        <v>1.0609999999999999</v>
      </c>
      <c r="J14" s="86">
        <v>1.05</v>
      </c>
      <c r="K14" s="83">
        <v>255</v>
      </c>
      <c r="L14" s="84">
        <v>99</v>
      </c>
      <c r="M14" s="87">
        <v>255</v>
      </c>
      <c r="N14" s="83">
        <v>99</v>
      </c>
      <c r="O14" s="83">
        <v>33986</v>
      </c>
      <c r="P14" s="73">
        <v>18</v>
      </c>
      <c r="Q14" s="86">
        <v>1.06</v>
      </c>
      <c r="R14" s="73">
        <v>5.33</v>
      </c>
      <c r="S14" s="88">
        <v>34</v>
      </c>
      <c r="T14" s="75">
        <v>52</v>
      </c>
      <c r="U14" s="77">
        <v>72</v>
      </c>
      <c r="V14" s="127">
        <v>1</v>
      </c>
      <c r="W14" s="111">
        <v>3.44</v>
      </c>
      <c r="X14" s="116">
        <v>8.3000000000000007</v>
      </c>
      <c r="Y14" s="116">
        <v>0.43</v>
      </c>
    </row>
    <row r="15" spans="1:25" x14ac:dyDescent="0.3">
      <c r="A15" s="140">
        <v>842</v>
      </c>
      <c r="B15" s="59">
        <v>250</v>
      </c>
      <c r="C15" s="60">
        <v>1.075</v>
      </c>
      <c r="D15" s="58">
        <v>3500</v>
      </c>
      <c r="E15" s="82">
        <v>2.2000000000000002</v>
      </c>
      <c r="F15" s="83">
        <v>71</v>
      </c>
      <c r="G15" s="83">
        <v>20</v>
      </c>
      <c r="H15" s="84">
        <v>20</v>
      </c>
      <c r="I15" s="89">
        <v>1.0620000000000001</v>
      </c>
      <c r="J15" s="86">
        <v>1.0509999999999999</v>
      </c>
      <c r="K15" s="83">
        <v>275</v>
      </c>
      <c r="L15" s="84">
        <v>99</v>
      </c>
      <c r="M15" s="87">
        <v>275</v>
      </c>
      <c r="N15" s="83">
        <v>99</v>
      </c>
      <c r="O15" s="83">
        <v>33987</v>
      </c>
      <c r="P15" s="73">
        <v>18</v>
      </c>
      <c r="Q15" s="86">
        <v>1.0589999999999999</v>
      </c>
      <c r="R15" s="73">
        <v>5.29</v>
      </c>
      <c r="S15" s="88">
        <v>34</v>
      </c>
      <c r="T15" s="75">
        <v>52</v>
      </c>
      <c r="U15" s="77">
        <v>70</v>
      </c>
      <c r="V15" s="127">
        <v>1</v>
      </c>
      <c r="W15" s="111">
        <v>3.47</v>
      </c>
      <c r="X15" s="116">
        <v>8.3000000000000007</v>
      </c>
      <c r="Y15" s="116">
        <v>0.45</v>
      </c>
    </row>
    <row r="16" spans="1:25" x14ac:dyDescent="0.3">
      <c r="A16" s="140">
        <v>843</v>
      </c>
      <c r="B16" s="59">
        <v>250</v>
      </c>
      <c r="C16" s="60">
        <v>1.0720000000000001</v>
      </c>
      <c r="D16" s="58">
        <v>3500</v>
      </c>
      <c r="E16" s="82">
        <v>2.1</v>
      </c>
      <c r="F16" s="83">
        <v>70</v>
      </c>
      <c r="G16" s="83">
        <v>20</v>
      </c>
      <c r="H16" s="84">
        <v>20</v>
      </c>
      <c r="I16" s="85">
        <v>1.0609999999999999</v>
      </c>
      <c r="J16" s="86">
        <v>1.0509999999999999</v>
      </c>
      <c r="K16" s="83">
        <v>270</v>
      </c>
      <c r="L16" s="84">
        <v>99</v>
      </c>
      <c r="M16" s="87">
        <v>270</v>
      </c>
      <c r="N16" s="83">
        <v>99</v>
      </c>
      <c r="O16" s="83">
        <v>33974</v>
      </c>
      <c r="P16" s="73">
        <v>19</v>
      </c>
      <c r="Q16" s="86">
        <v>1.06</v>
      </c>
      <c r="R16" s="73">
        <v>5.31</v>
      </c>
      <c r="S16" s="88">
        <v>34</v>
      </c>
      <c r="T16" s="75">
        <v>52</v>
      </c>
      <c r="U16" s="77">
        <v>74</v>
      </c>
      <c r="V16" s="127">
        <v>1</v>
      </c>
      <c r="W16" s="111">
        <v>5.31</v>
      </c>
      <c r="X16" s="116">
        <v>8.3000000000000007</v>
      </c>
      <c r="Y16" s="116">
        <v>0.41</v>
      </c>
    </row>
    <row r="17" spans="1:25" x14ac:dyDescent="0.3">
      <c r="A17" s="140">
        <v>844</v>
      </c>
      <c r="B17" s="59">
        <v>305</v>
      </c>
      <c r="C17" s="60">
        <v>1.07</v>
      </c>
      <c r="D17" s="58">
        <v>3500</v>
      </c>
      <c r="E17" s="82">
        <v>2</v>
      </c>
      <c r="F17" s="83">
        <v>70</v>
      </c>
      <c r="G17" s="83">
        <v>20</v>
      </c>
      <c r="H17" s="84">
        <v>20</v>
      </c>
      <c r="I17" s="85">
        <v>1.0620000000000001</v>
      </c>
      <c r="J17" s="86">
        <v>1.052</v>
      </c>
      <c r="K17" s="83">
        <v>265</v>
      </c>
      <c r="L17" s="84">
        <v>99</v>
      </c>
      <c r="M17" s="87">
        <v>265</v>
      </c>
      <c r="N17" s="83">
        <v>99</v>
      </c>
      <c r="O17" s="83">
        <v>33985</v>
      </c>
      <c r="P17" s="73">
        <v>19</v>
      </c>
      <c r="Q17" s="86">
        <v>1.06</v>
      </c>
      <c r="R17" s="73">
        <v>5.29</v>
      </c>
      <c r="S17" s="88">
        <v>34</v>
      </c>
      <c r="T17" s="75">
        <v>54</v>
      </c>
      <c r="U17" s="77">
        <v>74</v>
      </c>
      <c r="V17" s="127">
        <v>1</v>
      </c>
      <c r="W17" s="111">
        <v>3.48</v>
      </c>
      <c r="X17" s="116">
        <v>8.1999999999999993</v>
      </c>
      <c r="Y17" s="116">
        <v>0.47</v>
      </c>
    </row>
    <row r="18" spans="1:25" x14ac:dyDescent="0.3">
      <c r="A18" s="140">
        <v>845</v>
      </c>
      <c r="B18" s="59">
        <v>295</v>
      </c>
      <c r="C18" s="60">
        <v>1.069</v>
      </c>
      <c r="D18" s="58">
        <v>3500</v>
      </c>
      <c r="E18" s="82">
        <v>2</v>
      </c>
      <c r="F18" s="83">
        <v>70</v>
      </c>
      <c r="G18" s="83">
        <v>20</v>
      </c>
      <c r="H18" s="84">
        <v>20</v>
      </c>
      <c r="I18" s="85">
        <v>1.0609999999999999</v>
      </c>
      <c r="J18" s="86">
        <v>1.05</v>
      </c>
      <c r="K18" s="83">
        <v>260</v>
      </c>
      <c r="L18" s="84">
        <v>99</v>
      </c>
      <c r="M18" s="87">
        <v>260</v>
      </c>
      <c r="N18" s="83">
        <v>99</v>
      </c>
      <c r="O18" s="83">
        <v>33986</v>
      </c>
      <c r="P18" s="73">
        <v>19</v>
      </c>
      <c r="Q18" s="86">
        <v>1.06</v>
      </c>
      <c r="R18" s="73">
        <v>5.33</v>
      </c>
      <c r="S18" s="88">
        <v>33</v>
      </c>
      <c r="T18" s="75">
        <v>52</v>
      </c>
      <c r="U18" s="77">
        <v>72</v>
      </c>
      <c r="V18" s="127">
        <v>1</v>
      </c>
      <c r="W18" s="111">
        <v>3.49</v>
      </c>
      <c r="X18" s="116">
        <v>8.3000000000000007</v>
      </c>
      <c r="Y18" s="116">
        <v>0.48</v>
      </c>
    </row>
    <row r="19" spans="1:25" x14ac:dyDescent="0.3">
      <c r="A19" s="140">
        <v>846</v>
      </c>
      <c r="B19" s="59">
        <v>298</v>
      </c>
      <c r="C19" s="60">
        <v>1.073</v>
      </c>
      <c r="D19" s="58">
        <v>3500</v>
      </c>
      <c r="E19" s="82">
        <v>2.1</v>
      </c>
      <c r="F19" s="83">
        <v>70</v>
      </c>
      <c r="G19" s="83">
        <v>20</v>
      </c>
      <c r="H19" s="84">
        <v>20</v>
      </c>
      <c r="I19" s="85">
        <v>1.0620000000000001</v>
      </c>
      <c r="J19" s="86">
        <v>1.05</v>
      </c>
      <c r="K19" s="83">
        <v>265</v>
      </c>
      <c r="L19" s="84">
        <v>99</v>
      </c>
      <c r="M19" s="87">
        <v>265</v>
      </c>
      <c r="N19" s="83">
        <v>99</v>
      </c>
      <c r="O19" s="83">
        <v>33986</v>
      </c>
      <c r="P19" s="73">
        <v>19</v>
      </c>
      <c r="Q19" s="86">
        <v>1.06</v>
      </c>
      <c r="R19" s="73">
        <v>5.28</v>
      </c>
      <c r="S19" s="88">
        <v>34</v>
      </c>
      <c r="T19" s="75">
        <v>50</v>
      </c>
      <c r="U19" s="77">
        <v>70</v>
      </c>
      <c r="V19" s="127">
        <v>1</v>
      </c>
      <c r="W19" s="111">
        <v>3.44</v>
      </c>
      <c r="X19" s="116">
        <v>8.3000000000000007</v>
      </c>
      <c r="Y19" s="116">
        <v>0.48</v>
      </c>
    </row>
    <row r="20" spans="1:25" x14ac:dyDescent="0.3">
      <c r="A20" s="140">
        <v>847</v>
      </c>
      <c r="B20" s="59">
        <v>299</v>
      </c>
      <c r="C20" s="60">
        <v>1.075</v>
      </c>
      <c r="D20" s="58">
        <v>3500</v>
      </c>
      <c r="E20" s="82">
        <v>2.2000000000000002</v>
      </c>
      <c r="F20" s="83">
        <v>71</v>
      </c>
      <c r="G20" s="83">
        <v>20</v>
      </c>
      <c r="H20" s="84">
        <v>20</v>
      </c>
      <c r="I20" s="85">
        <v>1.0640000000000001</v>
      </c>
      <c r="J20" s="86">
        <v>1.054</v>
      </c>
      <c r="K20" s="83">
        <v>260</v>
      </c>
      <c r="L20" s="84">
        <v>99</v>
      </c>
      <c r="M20" s="87">
        <v>260</v>
      </c>
      <c r="N20" s="83">
        <v>99</v>
      </c>
      <c r="O20" s="83">
        <v>33988</v>
      </c>
      <c r="P20" s="73">
        <v>19</v>
      </c>
      <c r="Q20" s="86">
        <v>1.06</v>
      </c>
      <c r="R20" s="73">
        <v>5.29</v>
      </c>
      <c r="S20" s="88">
        <v>34</v>
      </c>
      <c r="T20" s="75">
        <v>50</v>
      </c>
      <c r="U20" s="77">
        <v>72</v>
      </c>
      <c r="V20" s="127">
        <v>1</v>
      </c>
      <c r="W20" s="111">
        <v>3.42</v>
      </c>
      <c r="X20" s="116">
        <v>8.3000000000000007</v>
      </c>
      <c r="Y20" s="116">
        <v>0.44</v>
      </c>
    </row>
    <row r="21" spans="1:25" x14ac:dyDescent="0.3">
      <c r="A21" s="140">
        <v>848</v>
      </c>
      <c r="B21" s="59">
        <v>299</v>
      </c>
      <c r="C21" s="60">
        <v>1.071</v>
      </c>
      <c r="D21" s="58">
        <v>3500</v>
      </c>
      <c r="E21" s="82">
        <v>2.2000000000000002</v>
      </c>
      <c r="F21" s="83">
        <v>70</v>
      </c>
      <c r="G21" s="83">
        <v>20</v>
      </c>
      <c r="H21" s="84">
        <v>20</v>
      </c>
      <c r="I21" s="85">
        <v>1.0640000000000001</v>
      </c>
      <c r="J21" s="86">
        <v>1.0529999999999999</v>
      </c>
      <c r="K21" s="83">
        <v>270</v>
      </c>
      <c r="L21" s="84">
        <v>99</v>
      </c>
      <c r="M21" s="87">
        <v>270</v>
      </c>
      <c r="N21" s="83">
        <v>99</v>
      </c>
      <c r="O21" s="83">
        <v>33981</v>
      </c>
      <c r="P21" s="73">
        <v>18</v>
      </c>
      <c r="Q21" s="86">
        <v>1.06</v>
      </c>
      <c r="R21" s="73">
        <v>5.31</v>
      </c>
      <c r="S21" s="88">
        <v>33</v>
      </c>
      <c r="T21" s="75">
        <v>54</v>
      </c>
      <c r="U21" s="77">
        <v>74</v>
      </c>
      <c r="V21" s="127">
        <v>1</v>
      </c>
      <c r="W21" s="111">
        <v>3.48</v>
      </c>
      <c r="X21" s="116">
        <v>8.3000000000000007</v>
      </c>
      <c r="Y21" s="116">
        <v>0.47</v>
      </c>
    </row>
    <row r="22" spans="1:25" x14ac:dyDescent="0.3">
      <c r="A22" s="140">
        <v>849</v>
      </c>
      <c r="B22" s="59">
        <v>265</v>
      </c>
      <c r="C22" s="62">
        <v>1.0720000000000001</v>
      </c>
      <c r="D22" s="58">
        <v>3500</v>
      </c>
      <c r="E22" s="82">
        <v>2.1</v>
      </c>
      <c r="F22" s="83">
        <v>70</v>
      </c>
      <c r="G22" s="83">
        <v>20</v>
      </c>
      <c r="H22" s="84">
        <v>20</v>
      </c>
      <c r="I22" s="85">
        <v>1.0609999999999999</v>
      </c>
      <c r="J22" s="86">
        <v>1.05</v>
      </c>
      <c r="K22" s="83">
        <v>265</v>
      </c>
      <c r="L22" s="84">
        <v>99</v>
      </c>
      <c r="M22" s="87">
        <v>265</v>
      </c>
      <c r="N22" s="83">
        <v>99</v>
      </c>
      <c r="O22" s="83">
        <v>33986</v>
      </c>
      <c r="P22" s="73">
        <v>19</v>
      </c>
      <c r="Q22" s="86">
        <v>1.06</v>
      </c>
      <c r="R22" s="73">
        <v>5.33</v>
      </c>
      <c r="S22" s="88">
        <v>34</v>
      </c>
      <c r="T22" s="75">
        <v>52</v>
      </c>
      <c r="U22" s="77">
        <v>70</v>
      </c>
      <c r="V22" s="127">
        <v>1</v>
      </c>
      <c r="W22" s="111">
        <v>3.49</v>
      </c>
      <c r="X22" s="116">
        <v>8.3000000000000007</v>
      </c>
      <c r="Y22" s="116">
        <v>0.41</v>
      </c>
    </row>
    <row r="23" spans="1:25" x14ac:dyDescent="0.3">
      <c r="A23" s="140">
        <v>850</v>
      </c>
      <c r="B23" s="59">
        <v>270</v>
      </c>
      <c r="C23" s="62">
        <v>1.0720000000000001</v>
      </c>
      <c r="D23" s="58">
        <v>3500</v>
      </c>
      <c r="E23" s="82">
        <v>2</v>
      </c>
      <c r="F23" s="83">
        <v>70</v>
      </c>
      <c r="G23" s="83">
        <v>20</v>
      </c>
      <c r="H23" s="84">
        <v>20</v>
      </c>
      <c r="I23" s="85">
        <v>1.0620000000000001</v>
      </c>
      <c r="J23" s="86">
        <v>1.0509999999999999</v>
      </c>
      <c r="K23" s="83">
        <v>275</v>
      </c>
      <c r="L23" s="84">
        <v>99</v>
      </c>
      <c r="M23" s="87">
        <v>275</v>
      </c>
      <c r="N23" s="83">
        <v>99</v>
      </c>
      <c r="O23" s="83">
        <v>33985</v>
      </c>
      <c r="P23" s="73">
        <v>19</v>
      </c>
      <c r="Q23" s="86">
        <v>1.06</v>
      </c>
      <c r="R23" s="73">
        <v>5.29</v>
      </c>
      <c r="S23" s="88">
        <v>34</v>
      </c>
      <c r="T23" s="75">
        <v>52</v>
      </c>
      <c r="U23" s="77">
        <v>70</v>
      </c>
      <c r="V23" s="127">
        <v>1</v>
      </c>
      <c r="W23" s="111">
        <v>3.51</v>
      </c>
      <c r="X23" s="116">
        <v>8.3000000000000007</v>
      </c>
      <c r="Y23" s="116">
        <v>0.38</v>
      </c>
    </row>
    <row r="24" spans="1:25" x14ac:dyDescent="0.3">
      <c r="A24" s="140">
        <v>851</v>
      </c>
      <c r="B24" s="59">
        <v>240</v>
      </c>
      <c r="C24" s="62">
        <v>1.0740000000000001</v>
      </c>
      <c r="D24" s="58">
        <v>3500</v>
      </c>
      <c r="E24" s="82">
        <v>2.2000000000000002</v>
      </c>
      <c r="F24" s="83">
        <v>70</v>
      </c>
      <c r="G24" s="83">
        <v>20</v>
      </c>
      <c r="H24" s="84">
        <v>20</v>
      </c>
      <c r="I24" s="85">
        <v>1.0609999999999999</v>
      </c>
      <c r="J24" s="86">
        <v>1.05</v>
      </c>
      <c r="K24" s="83">
        <v>270</v>
      </c>
      <c r="L24" s="84">
        <v>99</v>
      </c>
      <c r="M24" s="87">
        <v>270</v>
      </c>
      <c r="N24" s="83">
        <v>99</v>
      </c>
      <c r="O24" s="83">
        <v>33988</v>
      </c>
      <c r="P24" s="73">
        <v>19</v>
      </c>
      <c r="Q24" s="86">
        <v>1.0589999999999999</v>
      </c>
      <c r="R24" s="73">
        <v>5.33</v>
      </c>
      <c r="S24" s="88">
        <v>34</v>
      </c>
      <c r="T24" s="75">
        <v>52</v>
      </c>
      <c r="U24" s="77">
        <v>70</v>
      </c>
      <c r="V24" s="127">
        <v>1</v>
      </c>
      <c r="W24" s="111">
        <v>3.42</v>
      </c>
      <c r="X24" s="116">
        <v>8.3000000000000007</v>
      </c>
      <c r="Y24" s="116">
        <v>0.4</v>
      </c>
    </row>
    <row r="25" spans="1:25" x14ac:dyDescent="0.3">
      <c r="A25" s="140">
        <v>852</v>
      </c>
      <c r="B25" s="59">
        <v>300</v>
      </c>
      <c r="C25" s="62">
        <v>1.07</v>
      </c>
      <c r="D25" s="58">
        <v>3500</v>
      </c>
      <c r="E25" s="82">
        <v>2.1</v>
      </c>
      <c r="F25" s="83">
        <v>70</v>
      </c>
      <c r="G25" s="83">
        <v>20</v>
      </c>
      <c r="H25" s="84">
        <v>20</v>
      </c>
      <c r="I25" s="85">
        <v>1.0640000000000001</v>
      </c>
      <c r="J25" s="86">
        <v>1.048</v>
      </c>
      <c r="K25" s="83">
        <v>265</v>
      </c>
      <c r="L25" s="84">
        <v>99</v>
      </c>
      <c r="M25" s="87">
        <v>265</v>
      </c>
      <c r="N25" s="83">
        <v>99</v>
      </c>
      <c r="O25" s="83">
        <v>33985</v>
      </c>
      <c r="P25" s="73">
        <v>19</v>
      </c>
      <c r="Q25" s="86">
        <v>1.06</v>
      </c>
      <c r="R25" s="73">
        <v>5.28</v>
      </c>
      <c r="S25" s="88">
        <v>34</v>
      </c>
      <c r="T25" s="75">
        <v>50</v>
      </c>
      <c r="U25" s="77">
        <v>74</v>
      </c>
      <c r="V25" s="127">
        <v>1</v>
      </c>
      <c r="W25" s="111">
        <v>3.44</v>
      </c>
      <c r="X25" s="116">
        <v>8.3000000000000007</v>
      </c>
      <c r="Y25" s="116">
        <v>0.39</v>
      </c>
    </row>
    <row r="26" spans="1:25" x14ac:dyDescent="0.3">
      <c r="A26" s="140">
        <v>853</v>
      </c>
      <c r="B26" s="59">
        <v>302</v>
      </c>
      <c r="C26" s="62">
        <v>1.0720000000000001</v>
      </c>
      <c r="D26" s="58">
        <v>3500</v>
      </c>
      <c r="E26" s="82">
        <v>2</v>
      </c>
      <c r="F26" s="83">
        <v>70</v>
      </c>
      <c r="G26" s="83">
        <v>20</v>
      </c>
      <c r="H26" s="84">
        <v>20</v>
      </c>
      <c r="I26" s="85">
        <v>1.0649999999999999</v>
      </c>
      <c r="J26" s="86">
        <v>1.052</v>
      </c>
      <c r="K26" s="83">
        <v>260</v>
      </c>
      <c r="L26" s="84">
        <v>99</v>
      </c>
      <c r="M26" s="87">
        <v>260</v>
      </c>
      <c r="N26" s="83">
        <v>99</v>
      </c>
      <c r="O26" s="83">
        <v>33988</v>
      </c>
      <c r="P26" s="73">
        <v>18</v>
      </c>
      <c r="Q26" s="86">
        <v>1.06</v>
      </c>
      <c r="R26" s="73">
        <v>5.25</v>
      </c>
      <c r="S26" s="88">
        <v>33</v>
      </c>
      <c r="T26" s="75">
        <v>50</v>
      </c>
      <c r="U26" s="77">
        <v>72</v>
      </c>
      <c r="V26" s="127">
        <v>1</v>
      </c>
      <c r="W26" s="111">
        <v>3.48</v>
      </c>
      <c r="X26" s="116">
        <v>8.3000000000000007</v>
      </c>
      <c r="Y26" s="116">
        <v>0.44</v>
      </c>
    </row>
    <row r="27" spans="1:25" x14ac:dyDescent="0.3">
      <c r="A27" s="140">
        <v>854</v>
      </c>
      <c r="B27" s="59">
        <v>307</v>
      </c>
      <c r="C27" s="60">
        <v>1.075</v>
      </c>
      <c r="D27" s="58">
        <v>3500</v>
      </c>
      <c r="E27" s="82">
        <v>2.2000000000000002</v>
      </c>
      <c r="F27" s="83">
        <v>70</v>
      </c>
      <c r="G27" s="83">
        <v>20</v>
      </c>
      <c r="H27" s="84">
        <v>20</v>
      </c>
      <c r="I27" s="85">
        <v>1.0640000000000001</v>
      </c>
      <c r="J27" s="86">
        <v>1.0529999999999999</v>
      </c>
      <c r="K27" s="83">
        <v>265</v>
      </c>
      <c r="L27" s="84">
        <v>99</v>
      </c>
      <c r="M27" s="87">
        <v>265</v>
      </c>
      <c r="N27" s="83">
        <v>99</v>
      </c>
      <c r="O27" s="83">
        <v>33988</v>
      </c>
      <c r="P27" s="73">
        <v>19</v>
      </c>
      <c r="Q27" s="86">
        <v>1.06</v>
      </c>
      <c r="R27" s="73">
        <v>5.31</v>
      </c>
      <c r="S27" s="88">
        <v>34</v>
      </c>
      <c r="T27" s="75">
        <v>54</v>
      </c>
      <c r="U27" s="77">
        <v>70</v>
      </c>
      <c r="V27" s="127">
        <v>1</v>
      </c>
      <c r="W27" s="111">
        <v>3.44</v>
      </c>
      <c r="X27" s="116">
        <v>8.3000000000000007</v>
      </c>
      <c r="Y27" s="116">
        <v>0.4</v>
      </c>
    </row>
    <row r="28" spans="1:25" x14ac:dyDescent="0.3">
      <c r="A28" s="140">
        <v>855</v>
      </c>
      <c r="B28" s="59">
        <v>295</v>
      </c>
      <c r="C28" s="61">
        <v>1.07</v>
      </c>
      <c r="D28" s="58">
        <v>3500</v>
      </c>
      <c r="E28" s="82">
        <v>2</v>
      </c>
      <c r="F28" s="83">
        <v>70</v>
      </c>
      <c r="G28" s="83">
        <v>20</v>
      </c>
      <c r="H28" s="84">
        <v>20</v>
      </c>
      <c r="I28" s="85">
        <v>1.0609999999999999</v>
      </c>
      <c r="J28" s="86">
        <v>1.05</v>
      </c>
      <c r="K28" s="83">
        <v>260</v>
      </c>
      <c r="L28" s="84">
        <v>99</v>
      </c>
      <c r="M28" s="87">
        <v>260</v>
      </c>
      <c r="N28" s="83">
        <v>99</v>
      </c>
      <c r="O28" s="83">
        <v>33985</v>
      </c>
      <c r="P28" s="73">
        <v>19</v>
      </c>
      <c r="Q28" s="86">
        <v>1.06</v>
      </c>
      <c r="R28" s="73">
        <v>5.33</v>
      </c>
      <c r="S28" s="88">
        <v>34</v>
      </c>
      <c r="T28" s="75">
        <v>50</v>
      </c>
      <c r="U28" s="77">
        <v>70</v>
      </c>
      <c r="V28" s="127">
        <v>1</v>
      </c>
      <c r="W28" s="111">
        <v>3.48</v>
      </c>
      <c r="X28" s="116">
        <v>8.1999999999999993</v>
      </c>
      <c r="Y28" s="116">
        <v>0.38</v>
      </c>
    </row>
    <row r="29" spans="1:25" x14ac:dyDescent="0.3">
      <c r="A29" s="140">
        <v>856</v>
      </c>
      <c r="B29" s="59">
        <v>307</v>
      </c>
      <c r="C29" s="61">
        <v>1.0720000000000001</v>
      </c>
      <c r="D29" s="58">
        <v>3500</v>
      </c>
      <c r="E29" s="82">
        <v>2.1</v>
      </c>
      <c r="F29" s="83">
        <v>70</v>
      </c>
      <c r="G29" s="83">
        <v>20</v>
      </c>
      <c r="H29" s="84">
        <v>20</v>
      </c>
      <c r="I29" s="85">
        <v>1.0649999999999999</v>
      </c>
      <c r="J29" s="86">
        <v>1.052</v>
      </c>
      <c r="K29" s="83">
        <v>270</v>
      </c>
      <c r="L29" s="84">
        <v>99</v>
      </c>
      <c r="M29" s="87">
        <v>270</v>
      </c>
      <c r="N29" s="83">
        <v>99</v>
      </c>
      <c r="O29" s="83">
        <v>33988</v>
      </c>
      <c r="P29" s="73">
        <v>19</v>
      </c>
      <c r="Q29" s="86">
        <v>1.06</v>
      </c>
      <c r="R29" s="73">
        <v>5.25</v>
      </c>
      <c r="S29" s="88">
        <v>34</v>
      </c>
      <c r="T29" s="75">
        <v>52</v>
      </c>
      <c r="U29" s="77">
        <v>68</v>
      </c>
      <c r="V29" s="127">
        <v>1</v>
      </c>
      <c r="W29" s="111">
        <v>3.52</v>
      </c>
      <c r="X29" s="116">
        <v>8.3000000000000007</v>
      </c>
      <c r="Y29" s="116">
        <v>0.47</v>
      </c>
    </row>
    <row r="30" spans="1:25" x14ac:dyDescent="0.3">
      <c r="A30" s="140">
        <v>857</v>
      </c>
      <c r="B30" s="59">
        <v>260</v>
      </c>
      <c r="C30" s="61">
        <v>1.071</v>
      </c>
      <c r="D30" s="58">
        <v>3500</v>
      </c>
      <c r="E30" s="82">
        <v>2</v>
      </c>
      <c r="F30" s="83">
        <v>70</v>
      </c>
      <c r="G30" s="83">
        <v>20</v>
      </c>
      <c r="H30" s="84">
        <v>20</v>
      </c>
      <c r="I30" s="85">
        <v>1.0649999999999999</v>
      </c>
      <c r="J30" s="86">
        <v>1.0529999999999999</v>
      </c>
      <c r="K30" s="83">
        <v>265</v>
      </c>
      <c r="L30" s="84">
        <v>99</v>
      </c>
      <c r="M30" s="87">
        <v>265</v>
      </c>
      <c r="N30" s="83">
        <v>99</v>
      </c>
      <c r="O30" s="83">
        <v>33985</v>
      </c>
      <c r="P30" s="73">
        <v>19</v>
      </c>
      <c r="Q30" s="86">
        <v>1.0589999999999999</v>
      </c>
      <c r="R30" s="73">
        <v>5.25</v>
      </c>
      <c r="S30" s="88">
        <v>34</v>
      </c>
      <c r="T30" s="75">
        <v>52</v>
      </c>
      <c r="U30" s="75">
        <v>70</v>
      </c>
      <c r="V30" s="127">
        <v>1</v>
      </c>
      <c r="W30" s="111">
        <v>3.49</v>
      </c>
      <c r="X30" s="116">
        <v>8.3000000000000007</v>
      </c>
      <c r="Y30" s="116">
        <v>0.43</v>
      </c>
    </row>
    <row r="31" spans="1:25" x14ac:dyDescent="0.3">
      <c r="A31" s="140">
        <v>858</v>
      </c>
      <c r="B31" s="59">
        <v>265</v>
      </c>
      <c r="C31" s="61">
        <v>1.07</v>
      </c>
      <c r="D31" s="58">
        <v>3500</v>
      </c>
      <c r="E31" s="82">
        <v>2</v>
      </c>
      <c r="F31" s="83">
        <v>70</v>
      </c>
      <c r="G31" s="83">
        <v>20</v>
      </c>
      <c r="H31" s="84">
        <v>20</v>
      </c>
      <c r="I31" s="85">
        <v>1.0649999999999999</v>
      </c>
      <c r="J31" s="86">
        <v>1.054</v>
      </c>
      <c r="K31" s="83">
        <v>255</v>
      </c>
      <c r="L31" s="84">
        <v>99</v>
      </c>
      <c r="M31" s="87">
        <v>255</v>
      </c>
      <c r="N31" s="83">
        <v>99</v>
      </c>
      <c r="O31" s="83">
        <v>33987</v>
      </c>
      <c r="P31" s="73">
        <v>18</v>
      </c>
      <c r="Q31" s="86">
        <v>1.06</v>
      </c>
      <c r="R31" s="73">
        <v>5.25</v>
      </c>
      <c r="S31" s="88">
        <v>33</v>
      </c>
      <c r="T31" s="75">
        <v>50</v>
      </c>
      <c r="U31" s="75">
        <v>70</v>
      </c>
      <c r="V31" s="127">
        <v>1</v>
      </c>
      <c r="W31" s="111">
        <v>3.45</v>
      </c>
      <c r="X31" s="116">
        <v>8.3000000000000007</v>
      </c>
      <c r="Y31" s="116">
        <v>0.45</v>
      </c>
    </row>
    <row r="32" spans="1:25" x14ac:dyDescent="0.3">
      <c r="A32" s="140">
        <v>859</v>
      </c>
      <c r="B32" s="59">
        <v>250</v>
      </c>
      <c r="C32" s="61">
        <v>1.069</v>
      </c>
      <c r="D32" s="58">
        <v>3500</v>
      </c>
      <c r="E32" s="82">
        <v>2.2000000000000002</v>
      </c>
      <c r="F32" s="83">
        <v>70</v>
      </c>
      <c r="G32" s="83">
        <v>20</v>
      </c>
      <c r="H32" s="84">
        <v>20</v>
      </c>
      <c r="I32" s="85">
        <v>1.06</v>
      </c>
      <c r="J32" s="86">
        <v>1.052</v>
      </c>
      <c r="K32" s="83">
        <v>270</v>
      </c>
      <c r="L32" s="84">
        <v>99</v>
      </c>
      <c r="M32" s="87">
        <v>270</v>
      </c>
      <c r="N32" s="83">
        <v>99</v>
      </c>
      <c r="O32" s="83">
        <v>33974</v>
      </c>
      <c r="P32" s="73">
        <v>19</v>
      </c>
      <c r="Q32" s="86">
        <v>1.06</v>
      </c>
      <c r="R32" s="73">
        <v>5.33</v>
      </c>
      <c r="S32" s="88">
        <v>34</v>
      </c>
      <c r="T32" s="75">
        <v>50</v>
      </c>
      <c r="U32" s="75">
        <v>72</v>
      </c>
      <c r="V32" s="127">
        <v>1</v>
      </c>
      <c r="W32" s="111">
        <v>3.42</v>
      </c>
      <c r="X32" s="116">
        <v>8.3000000000000007</v>
      </c>
      <c r="Y32" s="116">
        <v>0.41</v>
      </c>
    </row>
    <row r="33" spans="1:25" x14ac:dyDescent="0.3">
      <c r="A33" s="140">
        <v>860</v>
      </c>
      <c r="B33" s="59">
        <v>245</v>
      </c>
      <c r="C33" s="61">
        <v>1.073</v>
      </c>
      <c r="D33" s="58">
        <v>3500</v>
      </c>
      <c r="E33" s="82">
        <v>2</v>
      </c>
      <c r="F33" s="83">
        <v>70</v>
      </c>
      <c r="G33" s="83">
        <v>20</v>
      </c>
      <c r="H33" s="84">
        <v>20</v>
      </c>
      <c r="I33" s="85">
        <v>1.0649999999999999</v>
      </c>
      <c r="J33" s="86">
        <v>1.0449999999999999</v>
      </c>
      <c r="K33" s="83">
        <v>265</v>
      </c>
      <c r="L33" s="84">
        <v>99</v>
      </c>
      <c r="M33" s="87">
        <v>265</v>
      </c>
      <c r="N33" s="83">
        <v>99</v>
      </c>
      <c r="O33" s="83">
        <v>33985</v>
      </c>
      <c r="P33" s="73">
        <v>19</v>
      </c>
      <c r="Q33" s="86">
        <v>1.06</v>
      </c>
      <c r="R33" s="73">
        <v>5.29</v>
      </c>
      <c r="S33" s="88">
        <v>34</v>
      </c>
      <c r="T33" s="75">
        <v>52</v>
      </c>
      <c r="U33" s="75">
        <v>72</v>
      </c>
      <c r="V33" s="127">
        <v>1</v>
      </c>
      <c r="W33" s="111">
        <v>3.47</v>
      </c>
      <c r="X33" s="116">
        <v>8.3000000000000007</v>
      </c>
      <c r="Y33" s="116">
        <v>0.47</v>
      </c>
    </row>
    <row r="34" spans="1:25" x14ac:dyDescent="0.3">
      <c r="A34" s="140">
        <v>861</v>
      </c>
      <c r="B34" s="59">
        <v>235</v>
      </c>
      <c r="C34" s="61">
        <v>1.075</v>
      </c>
      <c r="D34" s="58">
        <v>3500</v>
      </c>
      <c r="E34" s="82">
        <v>2.1</v>
      </c>
      <c r="F34" s="83">
        <v>70</v>
      </c>
      <c r="G34" s="83">
        <v>20</v>
      </c>
      <c r="H34" s="84">
        <v>20</v>
      </c>
      <c r="I34" s="85">
        <v>1.0649999999999999</v>
      </c>
      <c r="J34" s="86">
        <v>1.0529999999999999</v>
      </c>
      <c r="K34" s="83">
        <v>260</v>
      </c>
      <c r="L34" s="84">
        <v>99</v>
      </c>
      <c r="M34" s="87">
        <v>260</v>
      </c>
      <c r="N34" s="83">
        <v>99</v>
      </c>
      <c r="O34" s="83">
        <v>33985</v>
      </c>
      <c r="P34" s="73">
        <v>19</v>
      </c>
      <c r="Q34" s="86">
        <v>1.06</v>
      </c>
      <c r="R34" s="73">
        <v>5.25</v>
      </c>
      <c r="S34" s="88">
        <v>34</v>
      </c>
      <c r="T34" s="75">
        <v>52</v>
      </c>
      <c r="U34" s="75">
        <v>72</v>
      </c>
      <c r="V34" s="127">
        <v>1</v>
      </c>
      <c r="W34" s="111">
        <v>3.52</v>
      </c>
      <c r="X34" s="116">
        <v>8.3000000000000007</v>
      </c>
      <c r="Y34" s="116">
        <v>0.48</v>
      </c>
    </row>
    <row r="35" spans="1:25" x14ac:dyDescent="0.3">
      <c r="A35" s="140">
        <v>862</v>
      </c>
      <c r="B35" s="59">
        <v>260</v>
      </c>
      <c r="C35" s="61">
        <v>1.0740000000000001</v>
      </c>
      <c r="D35" s="58">
        <v>3500</v>
      </c>
      <c r="E35" s="82">
        <v>2</v>
      </c>
      <c r="F35" s="83">
        <v>70</v>
      </c>
      <c r="G35" s="83">
        <v>20</v>
      </c>
      <c r="H35" s="84">
        <v>20</v>
      </c>
      <c r="I35" s="85">
        <v>1.0649999999999999</v>
      </c>
      <c r="J35" s="86">
        <v>1.052</v>
      </c>
      <c r="K35" s="83">
        <v>265</v>
      </c>
      <c r="L35" s="84">
        <v>99</v>
      </c>
      <c r="M35" s="87">
        <v>265</v>
      </c>
      <c r="N35" s="83">
        <v>99</v>
      </c>
      <c r="O35" s="83">
        <v>33988</v>
      </c>
      <c r="P35" s="73">
        <v>19</v>
      </c>
      <c r="Q35" s="86">
        <v>1.06</v>
      </c>
      <c r="R35" s="73">
        <v>5.28</v>
      </c>
      <c r="S35" s="88">
        <v>34</v>
      </c>
      <c r="T35" s="75">
        <v>50</v>
      </c>
      <c r="U35" s="75">
        <v>70</v>
      </c>
      <c r="V35" s="127">
        <v>1</v>
      </c>
      <c r="W35" s="111">
        <v>3.44</v>
      </c>
      <c r="X35" s="116">
        <v>8.3000000000000007</v>
      </c>
      <c r="Y35" s="116">
        <v>0.48</v>
      </c>
    </row>
    <row r="36" spans="1:25" s="19" customFormat="1" x14ac:dyDescent="0.3">
      <c r="A36" s="140">
        <v>863</v>
      </c>
      <c r="B36" s="59">
        <v>265</v>
      </c>
      <c r="C36" s="61">
        <v>1.07</v>
      </c>
      <c r="D36" s="58">
        <v>3500</v>
      </c>
      <c r="E36" s="82">
        <v>2.2000000000000002</v>
      </c>
      <c r="F36" s="83">
        <v>71</v>
      </c>
      <c r="G36" s="83">
        <v>20</v>
      </c>
      <c r="H36" s="84">
        <v>20</v>
      </c>
      <c r="I36" s="85">
        <v>1.0649999999999999</v>
      </c>
      <c r="J36" s="86">
        <v>1.0529999999999999</v>
      </c>
      <c r="K36" s="83">
        <v>255</v>
      </c>
      <c r="L36" s="84">
        <v>99</v>
      </c>
      <c r="M36" s="87">
        <v>255</v>
      </c>
      <c r="N36" s="83">
        <v>99</v>
      </c>
      <c r="O36" s="83">
        <v>33986</v>
      </c>
      <c r="P36" s="73">
        <v>18</v>
      </c>
      <c r="Q36" s="86">
        <v>1.06</v>
      </c>
      <c r="R36" s="73">
        <v>5.26</v>
      </c>
      <c r="S36" s="88">
        <v>34</v>
      </c>
      <c r="T36" s="75">
        <v>50</v>
      </c>
      <c r="U36" s="75">
        <v>72</v>
      </c>
      <c r="V36" s="127">
        <v>1</v>
      </c>
      <c r="W36" s="111">
        <v>3.48</v>
      </c>
      <c r="X36" s="116">
        <v>8.1999999999999993</v>
      </c>
      <c r="Y36" s="116">
        <v>0.44</v>
      </c>
    </row>
    <row r="37" spans="1:25" x14ac:dyDescent="0.3">
      <c r="A37" s="140">
        <v>864</v>
      </c>
      <c r="B37" s="59">
        <v>270</v>
      </c>
      <c r="C37" s="61">
        <v>1.071</v>
      </c>
      <c r="D37" s="58">
        <v>3500</v>
      </c>
      <c r="E37" s="82">
        <v>2.1</v>
      </c>
      <c r="F37" s="83">
        <v>70</v>
      </c>
      <c r="G37" s="83">
        <v>20</v>
      </c>
      <c r="H37" s="84">
        <v>20</v>
      </c>
      <c r="I37" s="85">
        <v>1.0649999999999999</v>
      </c>
      <c r="J37" s="86">
        <v>1.0529999999999999</v>
      </c>
      <c r="K37" s="83">
        <v>275</v>
      </c>
      <c r="L37" s="84">
        <v>99</v>
      </c>
      <c r="M37" s="87">
        <v>275</v>
      </c>
      <c r="N37" s="83">
        <v>99</v>
      </c>
      <c r="O37" s="83">
        <v>33985</v>
      </c>
      <c r="P37" s="73">
        <v>18</v>
      </c>
      <c r="Q37" s="86">
        <v>1.0580000000000001</v>
      </c>
      <c r="R37" s="73">
        <v>5.25</v>
      </c>
      <c r="S37" s="88">
        <v>34</v>
      </c>
      <c r="T37" s="73">
        <v>50</v>
      </c>
      <c r="U37" s="77">
        <v>70</v>
      </c>
      <c r="V37" s="127">
        <v>1</v>
      </c>
      <c r="W37" s="111">
        <v>3.52</v>
      </c>
      <c r="X37" s="116">
        <v>8.3000000000000007</v>
      </c>
      <c r="Y37" s="116">
        <v>0.41</v>
      </c>
    </row>
    <row r="38" spans="1:25" x14ac:dyDescent="0.3">
      <c r="A38" s="140">
        <v>865</v>
      </c>
      <c r="B38" s="59">
        <v>240</v>
      </c>
      <c r="C38" s="61">
        <v>1.073</v>
      </c>
      <c r="D38" s="58">
        <v>3500</v>
      </c>
      <c r="E38" s="82">
        <v>2.2000000000000002</v>
      </c>
      <c r="F38" s="83">
        <v>70</v>
      </c>
      <c r="G38" s="83">
        <v>20</v>
      </c>
      <c r="H38" s="84">
        <v>20</v>
      </c>
      <c r="I38" s="85">
        <v>1.06</v>
      </c>
      <c r="J38" s="86">
        <v>1.05</v>
      </c>
      <c r="K38" s="83">
        <v>260</v>
      </c>
      <c r="L38" s="84">
        <v>99</v>
      </c>
      <c r="M38" s="87">
        <v>260</v>
      </c>
      <c r="N38" s="83">
        <v>99</v>
      </c>
      <c r="O38" s="83">
        <v>33986</v>
      </c>
      <c r="P38" s="73">
        <v>19</v>
      </c>
      <c r="Q38" s="86">
        <v>1.06</v>
      </c>
      <c r="R38" s="73">
        <v>5.31</v>
      </c>
      <c r="S38" s="88">
        <v>34</v>
      </c>
      <c r="T38" s="73">
        <v>54</v>
      </c>
      <c r="U38" s="77">
        <v>70</v>
      </c>
      <c r="V38" s="127">
        <v>1</v>
      </c>
      <c r="W38" s="111">
        <v>3.49</v>
      </c>
      <c r="X38" s="111">
        <v>8.3000000000000007</v>
      </c>
      <c r="Y38" s="116">
        <v>0.38</v>
      </c>
    </row>
    <row r="39" spans="1:25" x14ac:dyDescent="0.3">
      <c r="A39" s="140">
        <v>866</v>
      </c>
      <c r="B39" s="59">
        <v>265</v>
      </c>
      <c r="C39" s="61">
        <v>1.075</v>
      </c>
      <c r="D39" s="58">
        <v>3500</v>
      </c>
      <c r="E39" s="82">
        <v>2</v>
      </c>
      <c r="F39" s="83">
        <v>70</v>
      </c>
      <c r="G39" s="83">
        <v>20</v>
      </c>
      <c r="H39" s="84">
        <v>20</v>
      </c>
      <c r="I39" s="85">
        <v>1.0620000000000001</v>
      </c>
      <c r="J39" s="86">
        <v>1.05</v>
      </c>
      <c r="K39" s="83">
        <v>255</v>
      </c>
      <c r="L39" s="84">
        <v>99</v>
      </c>
      <c r="M39" s="87">
        <v>255</v>
      </c>
      <c r="N39" s="83">
        <v>99</v>
      </c>
      <c r="O39" s="83">
        <v>33985</v>
      </c>
      <c r="P39" s="73">
        <v>19</v>
      </c>
      <c r="Q39" s="86">
        <v>1.06</v>
      </c>
      <c r="R39" s="73">
        <v>5.32</v>
      </c>
      <c r="S39" s="88">
        <v>34</v>
      </c>
      <c r="T39" s="73">
        <v>52</v>
      </c>
      <c r="U39" s="77">
        <v>70</v>
      </c>
      <c r="V39" s="127">
        <v>1</v>
      </c>
      <c r="W39" s="111">
        <v>3.51</v>
      </c>
      <c r="X39" s="116">
        <v>8.1999999999999993</v>
      </c>
      <c r="Y39" s="116">
        <v>0.46</v>
      </c>
    </row>
    <row r="40" spans="1:25" x14ac:dyDescent="0.3">
      <c r="A40" s="140">
        <v>867</v>
      </c>
      <c r="B40" s="59">
        <v>270</v>
      </c>
      <c r="C40" s="61">
        <v>1.0720000000000001</v>
      </c>
      <c r="D40" s="58">
        <v>3500</v>
      </c>
      <c r="E40" s="82">
        <v>2</v>
      </c>
      <c r="F40" s="83">
        <v>70</v>
      </c>
      <c r="G40" s="83">
        <v>20</v>
      </c>
      <c r="H40" s="84">
        <v>20</v>
      </c>
      <c r="I40" s="85">
        <v>1.0649999999999999</v>
      </c>
      <c r="J40" s="90">
        <v>1.052</v>
      </c>
      <c r="K40" s="83">
        <v>275</v>
      </c>
      <c r="L40" s="84">
        <v>99</v>
      </c>
      <c r="M40" s="87">
        <v>275</v>
      </c>
      <c r="N40" s="83">
        <v>99</v>
      </c>
      <c r="O40" s="83">
        <v>33986</v>
      </c>
      <c r="P40" s="73">
        <v>18</v>
      </c>
      <c r="Q40" s="86">
        <v>1.0589999999999999</v>
      </c>
      <c r="R40" s="73">
        <v>5.28</v>
      </c>
      <c r="S40" s="88">
        <v>34</v>
      </c>
      <c r="T40" s="73">
        <v>52</v>
      </c>
      <c r="U40" s="77">
        <v>72</v>
      </c>
      <c r="V40" s="127">
        <v>1</v>
      </c>
      <c r="W40" s="111">
        <v>3.46</v>
      </c>
      <c r="X40" s="116">
        <v>8.3000000000000007</v>
      </c>
      <c r="Y40" s="116">
        <v>0.4</v>
      </c>
    </row>
    <row r="41" spans="1:25" x14ac:dyDescent="0.3">
      <c r="A41" s="140">
        <v>868</v>
      </c>
      <c r="B41" s="59">
        <v>240</v>
      </c>
      <c r="C41" s="61">
        <v>1.073</v>
      </c>
      <c r="D41" s="58">
        <v>3500</v>
      </c>
      <c r="E41" s="82">
        <v>2.1</v>
      </c>
      <c r="F41" s="83">
        <v>70</v>
      </c>
      <c r="G41" s="83">
        <v>20</v>
      </c>
      <c r="H41" s="84">
        <v>20</v>
      </c>
      <c r="I41" s="89">
        <v>1.0649999999999999</v>
      </c>
      <c r="J41" s="90">
        <v>1.052</v>
      </c>
      <c r="K41" s="83">
        <v>285</v>
      </c>
      <c r="L41" s="84">
        <v>99</v>
      </c>
      <c r="M41" s="87">
        <v>285</v>
      </c>
      <c r="N41" s="83">
        <v>99</v>
      </c>
      <c r="O41" s="83">
        <v>33988</v>
      </c>
      <c r="P41" s="73">
        <v>19</v>
      </c>
      <c r="Q41" s="86">
        <v>1.06</v>
      </c>
      <c r="R41" s="73">
        <v>5.26</v>
      </c>
      <c r="S41" s="88">
        <v>34</v>
      </c>
      <c r="T41" s="73">
        <v>54</v>
      </c>
      <c r="U41" s="77">
        <v>70</v>
      </c>
      <c r="V41" s="127">
        <v>1</v>
      </c>
      <c r="W41" s="111">
        <v>3.52</v>
      </c>
      <c r="X41" s="116">
        <v>8.3000000000000007</v>
      </c>
      <c r="Y41" s="116">
        <v>0.48</v>
      </c>
    </row>
    <row r="42" spans="1:25" x14ac:dyDescent="0.3">
      <c r="A42" s="140">
        <v>869</v>
      </c>
      <c r="B42" s="59">
        <v>233</v>
      </c>
      <c r="C42" s="61">
        <v>1.07</v>
      </c>
      <c r="D42" s="58">
        <v>3500</v>
      </c>
      <c r="E42" s="82">
        <v>2</v>
      </c>
      <c r="F42" s="83">
        <v>70</v>
      </c>
      <c r="G42" s="83">
        <v>20</v>
      </c>
      <c r="H42" s="84">
        <v>20</v>
      </c>
      <c r="I42" s="89">
        <v>1.0640000000000001</v>
      </c>
      <c r="J42" s="90">
        <v>1.05</v>
      </c>
      <c r="K42" s="83">
        <v>260</v>
      </c>
      <c r="L42" s="84">
        <v>99</v>
      </c>
      <c r="M42" s="87">
        <v>260</v>
      </c>
      <c r="N42" s="83">
        <v>99</v>
      </c>
      <c r="O42" s="83">
        <v>33988</v>
      </c>
      <c r="P42" s="73">
        <v>19</v>
      </c>
      <c r="Q42" s="86">
        <v>1.0580000000000001</v>
      </c>
      <c r="R42" s="73">
        <v>5.29</v>
      </c>
      <c r="S42" s="88">
        <v>33</v>
      </c>
      <c r="T42" s="73">
        <v>54</v>
      </c>
      <c r="U42" s="77">
        <v>72</v>
      </c>
      <c r="V42" s="127">
        <v>1</v>
      </c>
      <c r="W42" s="111">
        <v>3.49</v>
      </c>
      <c r="X42" s="116">
        <v>8.3000000000000007</v>
      </c>
      <c r="Y42" s="116">
        <v>0.44</v>
      </c>
    </row>
    <row r="43" spans="1:25" x14ac:dyDescent="0.3">
      <c r="A43" s="140">
        <v>870</v>
      </c>
      <c r="B43" s="59">
        <v>305</v>
      </c>
      <c r="C43" s="61">
        <v>1.0740000000000001</v>
      </c>
      <c r="D43" s="58">
        <v>3500</v>
      </c>
      <c r="E43" s="82">
        <v>2</v>
      </c>
      <c r="F43" s="83">
        <v>70</v>
      </c>
      <c r="G43" s="83">
        <v>20</v>
      </c>
      <c r="H43" s="84">
        <v>20</v>
      </c>
      <c r="I43" s="89">
        <v>1.0620000000000001</v>
      </c>
      <c r="J43" s="90">
        <v>1.052</v>
      </c>
      <c r="K43" s="83">
        <v>255</v>
      </c>
      <c r="L43" s="84">
        <v>99</v>
      </c>
      <c r="M43" s="87">
        <v>255</v>
      </c>
      <c r="N43" s="83">
        <v>99</v>
      </c>
      <c r="O43" s="83">
        <v>33988</v>
      </c>
      <c r="P43" s="73">
        <v>19</v>
      </c>
      <c r="Q43" s="86">
        <v>1.06</v>
      </c>
      <c r="R43" s="73">
        <v>5.25</v>
      </c>
      <c r="S43" s="88">
        <v>33</v>
      </c>
      <c r="T43" s="75">
        <v>54</v>
      </c>
      <c r="U43" s="77">
        <v>70</v>
      </c>
      <c r="V43" s="127">
        <v>1</v>
      </c>
      <c r="W43" s="111">
        <v>3.51</v>
      </c>
      <c r="X43" s="116">
        <v>8.3000000000000007</v>
      </c>
      <c r="Y43" s="116">
        <v>0.4</v>
      </c>
    </row>
    <row r="44" spans="1:25" hidden="1" x14ac:dyDescent="0.3">
      <c r="A44" s="140">
        <v>871</v>
      </c>
      <c r="B44" s="59">
        <v>295</v>
      </c>
      <c r="C44" s="61">
        <v>1.071</v>
      </c>
      <c r="D44" s="58">
        <v>3500</v>
      </c>
      <c r="E44" s="82">
        <v>2.1</v>
      </c>
      <c r="F44" s="83">
        <v>71</v>
      </c>
      <c r="G44" s="83">
        <v>20</v>
      </c>
      <c r="H44" s="84">
        <v>20</v>
      </c>
      <c r="I44" s="89">
        <v>1.0629999999999999</v>
      </c>
      <c r="J44" s="90">
        <v>1.052</v>
      </c>
      <c r="K44" s="83">
        <v>265</v>
      </c>
      <c r="L44" s="84">
        <v>99</v>
      </c>
      <c r="M44" s="87">
        <v>265</v>
      </c>
      <c r="N44" s="83">
        <v>99</v>
      </c>
      <c r="O44" s="83">
        <v>33985</v>
      </c>
      <c r="P44" s="73">
        <v>19</v>
      </c>
      <c r="Q44" s="86">
        <v>1.06</v>
      </c>
      <c r="R44" s="73">
        <v>5.31</v>
      </c>
      <c r="S44" s="88">
        <v>34</v>
      </c>
      <c r="T44" s="75">
        <v>52</v>
      </c>
      <c r="U44" s="77">
        <v>74</v>
      </c>
      <c r="V44" s="127">
        <v>1</v>
      </c>
      <c r="W44" s="111">
        <v>3.46</v>
      </c>
      <c r="X44" s="116">
        <v>8.3000000000000007</v>
      </c>
      <c r="Y44" s="116">
        <v>0.38</v>
      </c>
    </row>
    <row r="45" spans="1:25" hidden="1" x14ac:dyDescent="0.3">
      <c r="A45" s="140">
        <v>872</v>
      </c>
      <c r="B45" s="59">
        <v>250</v>
      </c>
      <c r="C45" s="61">
        <v>1.075</v>
      </c>
      <c r="D45" s="58">
        <v>3500</v>
      </c>
      <c r="E45" s="82">
        <v>2.2000000000000002</v>
      </c>
      <c r="F45" s="83">
        <v>70</v>
      </c>
      <c r="G45" s="83">
        <v>20</v>
      </c>
      <c r="H45" s="84">
        <v>20</v>
      </c>
      <c r="I45" s="72">
        <v>1.0649999999999999</v>
      </c>
      <c r="J45" s="90">
        <v>1.052</v>
      </c>
      <c r="K45" s="83">
        <v>260</v>
      </c>
      <c r="L45" s="84">
        <v>99</v>
      </c>
      <c r="M45" s="87">
        <v>260</v>
      </c>
      <c r="N45" s="83">
        <v>99</v>
      </c>
      <c r="O45" s="83">
        <v>33988</v>
      </c>
      <c r="P45" s="73">
        <v>19</v>
      </c>
      <c r="Q45" s="86">
        <v>1.06</v>
      </c>
      <c r="R45" s="73">
        <v>5.28</v>
      </c>
      <c r="S45" s="88">
        <v>34</v>
      </c>
      <c r="T45" s="75">
        <v>50</v>
      </c>
      <c r="U45" s="77">
        <v>74</v>
      </c>
      <c r="V45" s="127">
        <v>1</v>
      </c>
      <c r="W45" s="111">
        <v>3.48</v>
      </c>
      <c r="X45" s="116">
        <v>8.1999999999999993</v>
      </c>
      <c r="Y45" s="116">
        <v>0.47</v>
      </c>
    </row>
    <row r="46" spans="1:25" hidden="1" x14ac:dyDescent="0.3">
      <c r="A46" s="140">
        <v>873</v>
      </c>
      <c r="B46" s="59">
        <v>260</v>
      </c>
      <c r="C46" s="61">
        <v>1.0740000000000001</v>
      </c>
      <c r="D46" s="58">
        <v>3500</v>
      </c>
      <c r="E46" s="82">
        <v>2</v>
      </c>
      <c r="F46" s="83">
        <v>70</v>
      </c>
      <c r="G46" s="83">
        <v>20</v>
      </c>
      <c r="H46" s="84">
        <v>20</v>
      </c>
      <c r="I46" s="72">
        <v>1.0640000000000001</v>
      </c>
      <c r="J46" s="90">
        <v>1.05</v>
      </c>
      <c r="K46" s="83">
        <v>265</v>
      </c>
      <c r="L46" s="84">
        <v>99</v>
      </c>
      <c r="M46" s="87">
        <v>265</v>
      </c>
      <c r="N46" s="83">
        <v>99</v>
      </c>
      <c r="O46" s="83">
        <v>33985</v>
      </c>
      <c r="P46" s="73">
        <v>18</v>
      </c>
      <c r="Q46" s="86">
        <v>1.06</v>
      </c>
      <c r="R46" s="73">
        <v>5.32</v>
      </c>
      <c r="S46" s="88">
        <v>33</v>
      </c>
      <c r="T46" s="75">
        <v>54</v>
      </c>
      <c r="U46" s="77">
        <v>72</v>
      </c>
      <c r="V46" s="127">
        <v>1</v>
      </c>
      <c r="W46" s="111">
        <v>3.46</v>
      </c>
      <c r="X46" s="116">
        <v>8.3000000000000007</v>
      </c>
      <c r="Y46" s="116">
        <v>0.43</v>
      </c>
    </row>
    <row r="47" spans="1:25" hidden="1" x14ac:dyDescent="0.3">
      <c r="A47" s="140">
        <v>874</v>
      </c>
      <c r="B47" s="59">
        <v>265</v>
      </c>
      <c r="C47" s="62">
        <v>1.075</v>
      </c>
      <c r="D47" s="58">
        <v>3500</v>
      </c>
      <c r="E47" s="82">
        <v>2.2000000000000002</v>
      </c>
      <c r="F47" s="83">
        <v>70</v>
      </c>
      <c r="G47" s="83">
        <v>20</v>
      </c>
      <c r="H47" s="84">
        <v>20</v>
      </c>
      <c r="I47" s="72">
        <v>1.0649999999999999</v>
      </c>
      <c r="J47" s="90">
        <v>1.048</v>
      </c>
      <c r="K47" s="83">
        <v>260</v>
      </c>
      <c r="L47" s="84">
        <v>99</v>
      </c>
      <c r="M47" s="87">
        <v>260</v>
      </c>
      <c r="N47" s="83">
        <v>99</v>
      </c>
      <c r="O47" s="83">
        <v>33987</v>
      </c>
      <c r="P47" s="73">
        <v>19</v>
      </c>
      <c r="Q47" s="86">
        <v>1.06</v>
      </c>
      <c r="R47" s="73">
        <v>5.29</v>
      </c>
      <c r="S47" s="88">
        <v>34</v>
      </c>
      <c r="T47" s="75">
        <v>50</v>
      </c>
      <c r="U47" s="77">
        <v>68</v>
      </c>
      <c r="V47" s="127">
        <v>1</v>
      </c>
      <c r="W47" s="111">
        <v>3.47</v>
      </c>
      <c r="X47" s="116">
        <v>8.3000000000000007</v>
      </c>
      <c r="Y47" s="116">
        <v>0.45</v>
      </c>
    </row>
    <row r="48" spans="1:25" hidden="1" x14ac:dyDescent="0.3">
      <c r="A48" s="140">
        <v>875</v>
      </c>
      <c r="B48" s="59">
        <v>270</v>
      </c>
      <c r="C48" s="62">
        <v>1.07</v>
      </c>
      <c r="D48" s="58">
        <v>3500</v>
      </c>
      <c r="E48" s="82">
        <v>2</v>
      </c>
      <c r="F48" s="83">
        <v>70</v>
      </c>
      <c r="G48" s="83">
        <v>20</v>
      </c>
      <c r="H48" s="84">
        <v>20</v>
      </c>
      <c r="I48" s="72">
        <v>1.0640000000000001</v>
      </c>
      <c r="J48" s="90">
        <v>1.0529999999999999</v>
      </c>
      <c r="K48" s="83">
        <v>255</v>
      </c>
      <c r="L48" s="84">
        <v>99</v>
      </c>
      <c r="M48" s="87">
        <v>255</v>
      </c>
      <c r="N48" s="83">
        <v>99</v>
      </c>
      <c r="O48" s="83">
        <v>33985</v>
      </c>
      <c r="P48" s="73">
        <v>19</v>
      </c>
      <c r="Q48" s="86">
        <v>1.06</v>
      </c>
      <c r="R48" s="73">
        <v>5.31</v>
      </c>
      <c r="S48" s="88">
        <v>34</v>
      </c>
      <c r="T48" s="75">
        <v>60</v>
      </c>
      <c r="U48" s="77">
        <v>72</v>
      </c>
      <c r="V48" s="127">
        <v>1</v>
      </c>
      <c r="W48" s="111">
        <v>3.51</v>
      </c>
      <c r="X48" s="116">
        <v>8.3000000000000007</v>
      </c>
      <c r="Y48" s="116">
        <v>0.41</v>
      </c>
    </row>
    <row r="49" spans="1:25" hidden="1" x14ac:dyDescent="0.3">
      <c r="A49" s="140">
        <v>876</v>
      </c>
      <c r="B49" s="59">
        <v>240</v>
      </c>
      <c r="C49" s="62">
        <v>1.069</v>
      </c>
      <c r="D49" s="58">
        <v>3500</v>
      </c>
      <c r="E49" s="82">
        <v>2.1</v>
      </c>
      <c r="F49" s="83">
        <v>71</v>
      </c>
      <c r="G49" s="83">
        <v>20</v>
      </c>
      <c r="H49" s="84">
        <v>20</v>
      </c>
      <c r="I49" s="72">
        <v>1.0649999999999999</v>
      </c>
      <c r="J49" s="90">
        <v>1.052</v>
      </c>
      <c r="K49" s="83">
        <v>270</v>
      </c>
      <c r="L49" s="84">
        <v>99</v>
      </c>
      <c r="M49" s="87">
        <v>270</v>
      </c>
      <c r="N49" s="83">
        <v>99</v>
      </c>
      <c r="O49" s="83">
        <v>33985</v>
      </c>
      <c r="P49" s="73">
        <v>19</v>
      </c>
      <c r="Q49" s="86">
        <v>1.06</v>
      </c>
      <c r="R49" s="73">
        <v>5.26</v>
      </c>
      <c r="S49" s="88">
        <v>34</v>
      </c>
      <c r="T49" s="75">
        <v>52</v>
      </c>
      <c r="U49" s="77">
        <v>72</v>
      </c>
      <c r="V49" s="127">
        <v>1</v>
      </c>
      <c r="W49" s="111">
        <v>3.49</v>
      </c>
      <c r="X49" s="116">
        <v>8.1999999999999993</v>
      </c>
      <c r="Y49" s="116">
        <v>0.47</v>
      </c>
    </row>
    <row r="50" spans="1:25" hidden="1" x14ac:dyDescent="0.3">
      <c r="A50" s="140">
        <v>877</v>
      </c>
      <c r="B50" s="59">
        <v>265</v>
      </c>
      <c r="C50" s="62">
        <v>1.0720000000000001</v>
      </c>
      <c r="D50" s="58">
        <v>3500</v>
      </c>
      <c r="E50" s="82">
        <v>2.2000000000000002</v>
      </c>
      <c r="F50" s="83">
        <v>70</v>
      </c>
      <c r="G50" s="83">
        <v>20</v>
      </c>
      <c r="H50" s="84">
        <v>20</v>
      </c>
      <c r="I50" s="72">
        <v>1.0640000000000001</v>
      </c>
      <c r="J50" s="90">
        <v>1.05</v>
      </c>
      <c r="K50" s="83">
        <v>260</v>
      </c>
      <c r="L50" s="84">
        <v>99</v>
      </c>
      <c r="M50" s="87">
        <v>260</v>
      </c>
      <c r="N50" s="83">
        <v>99</v>
      </c>
      <c r="O50" s="83">
        <v>33988</v>
      </c>
      <c r="P50" s="73">
        <v>18</v>
      </c>
      <c r="Q50" s="86">
        <v>1.0580000000000001</v>
      </c>
      <c r="R50" s="73">
        <v>5.29</v>
      </c>
      <c r="S50" s="88">
        <v>34</v>
      </c>
      <c r="T50" s="75">
        <v>54</v>
      </c>
      <c r="U50" s="77">
        <v>76</v>
      </c>
      <c r="V50" s="127">
        <v>1</v>
      </c>
      <c r="W50" s="111">
        <v>3.54</v>
      </c>
      <c r="X50" s="116">
        <v>8.3000000000000007</v>
      </c>
      <c r="Y50" s="116">
        <v>0.48</v>
      </c>
    </row>
    <row r="51" spans="1:25" hidden="1" x14ac:dyDescent="0.3">
      <c r="A51" s="140">
        <v>878</v>
      </c>
      <c r="B51" s="59">
        <v>270</v>
      </c>
      <c r="C51" s="60">
        <v>1.071</v>
      </c>
      <c r="D51" s="58">
        <v>3500</v>
      </c>
      <c r="E51" s="82">
        <v>2.1</v>
      </c>
      <c r="F51" s="83">
        <v>71</v>
      </c>
      <c r="G51" s="83">
        <v>20</v>
      </c>
      <c r="H51" s="84">
        <v>20</v>
      </c>
      <c r="I51" s="72">
        <v>1.0629999999999999</v>
      </c>
      <c r="J51" s="90">
        <v>1.0529999999999999</v>
      </c>
      <c r="K51" s="83">
        <v>270</v>
      </c>
      <c r="L51" s="84">
        <v>99</v>
      </c>
      <c r="M51" s="87">
        <v>270</v>
      </c>
      <c r="N51" s="83">
        <v>99</v>
      </c>
      <c r="O51" s="83">
        <v>33988</v>
      </c>
      <c r="P51" s="73">
        <v>19</v>
      </c>
      <c r="Q51" s="86">
        <v>1.06</v>
      </c>
      <c r="R51" s="73">
        <v>5.33</v>
      </c>
      <c r="S51" s="88">
        <v>33</v>
      </c>
      <c r="T51" s="75">
        <v>52</v>
      </c>
      <c r="U51" s="77">
        <v>72</v>
      </c>
      <c r="V51" s="127">
        <v>1</v>
      </c>
      <c r="W51" s="111">
        <v>3.51</v>
      </c>
      <c r="X51" s="116">
        <v>8.3000000000000007</v>
      </c>
      <c r="Y51" s="116">
        <v>0.48</v>
      </c>
    </row>
    <row r="52" spans="1:25" hidden="1" x14ac:dyDescent="0.3">
      <c r="A52" s="140">
        <v>879</v>
      </c>
      <c r="B52" s="59">
        <v>240</v>
      </c>
      <c r="C52" s="61">
        <v>1.075</v>
      </c>
      <c r="D52" s="58">
        <v>3500</v>
      </c>
      <c r="E52" s="82">
        <v>2</v>
      </c>
      <c r="F52" s="83">
        <v>70</v>
      </c>
      <c r="G52" s="83">
        <v>20</v>
      </c>
      <c r="H52" s="84">
        <v>20</v>
      </c>
      <c r="I52" s="72">
        <v>1.0629999999999999</v>
      </c>
      <c r="J52" s="90">
        <v>1.0509999999999999</v>
      </c>
      <c r="K52" s="83">
        <v>255</v>
      </c>
      <c r="L52" s="84">
        <v>99</v>
      </c>
      <c r="M52" s="87">
        <v>255</v>
      </c>
      <c r="N52" s="83">
        <v>99</v>
      </c>
      <c r="O52" s="83">
        <v>33986</v>
      </c>
      <c r="P52" s="73">
        <v>19</v>
      </c>
      <c r="Q52" s="86">
        <v>1.06</v>
      </c>
      <c r="R52" s="73">
        <v>5.29</v>
      </c>
      <c r="S52" s="88">
        <v>34</v>
      </c>
      <c r="T52" s="75">
        <v>52</v>
      </c>
      <c r="U52" s="77">
        <v>72</v>
      </c>
      <c r="V52" s="127">
        <v>1</v>
      </c>
      <c r="W52" s="111">
        <v>3.51</v>
      </c>
      <c r="X52" s="116">
        <v>8.3000000000000007</v>
      </c>
      <c r="Y52" s="116">
        <v>0.44</v>
      </c>
    </row>
    <row r="53" spans="1:25" hidden="1" x14ac:dyDescent="0.3">
      <c r="A53" s="140">
        <v>447</v>
      </c>
      <c r="B53" s="59">
        <v>265</v>
      </c>
      <c r="C53" s="61">
        <v>1.0720000000000001</v>
      </c>
      <c r="D53" s="58">
        <v>3500</v>
      </c>
      <c r="E53" s="72">
        <v>2.1</v>
      </c>
      <c r="F53" s="73">
        <v>70</v>
      </c>
      <c r="G53" s="83">
        <v>20</v>
      </c>
      <c r="H53" s="84">
        <v>20</v>
      </c>
      <c r="I53" s="91"/>
      <c r="J53" s="90"/>
      <c r="K53" s="92"/>
      <c r="L53" s="93"/>
      <c r="M53" s="94"/>
      <c r="N53" s="92"/>
      <c r="O53" s="83">
        <v>33988</v>
      </c>
      <c r="P53" s="73">
        <v>18</v>
      </c>
      <c r="Q53" s="86">
        <v>1.06</v>
      </c>
      <c r="R53" s="73">
        <v>5.29</v>
      </c>
      <c r="S53" s="88">
        <v>34</v>
      </c>
      <c r="T53" s="75">
        <v>52</v>
      </c>
      <c r="U53" s="77">
        <v>72</v>
      </c>
      <c r="V53" s="127">
        <v>1</v>
      </c>
      <c r="W53" s="111">
        <v>3.52</v>
      </c>
      <c r="X53" s="116">
        <v>8.4</v>
      </c>
      <c r="Y53" s="116">
        <v>0.38</v>
      </c>
    </row>
    <row r="54" spans="1:25" hidden="1" x14ac:dyDescent="0.3">
      <c r="A54" s="140">
        <v>448</v>
      </c>
      <c r="B54" s="59">
        <v>250</v>
      </c>
      <c r="C54" s="61">
        <v>1.07</v>
      </c>
      <c r="D54" s="58">
        <v>3500</v>
      </c>
      <c r="E54" s="72">
        <v>2</v>
      </c>
      <c r="F54" s="73">
        <v>71</v>
      </c>
      <c r="G54" s="83">
        <v>20</v>
      </c>
      <c r="H54" s="84">
        <v>20</v>
      </c>
      <c r="I54" s="95"/>
      <c r="J54" s="90"/>
      <c r="K54" s="92"/>
      <c r="L54" s="93"/>
      <c r="M54" s="94"/>
      <c r="N54" s="92"/>
      <c r="O54" s="83">
        <v>33986</v>
      </c>
      <c r="P54" s="73">
        <v>19</v>
      </c>
      <c r="Q54" s="86">
        <v>1.0589999999999999</v>
      </c>
      <c r="R54" s="73">
        <v>5.24</v>
      </c>
      <c r="S54" s="88">
        <v>33</v>
      </c>
      <c r="T54" s="75">
        <v>48</v>
      </c>
      <c r="U54" s="77">
        <v>68</v>
      </c>
      <c r="V54" s="127">
        <v>1</v>
      </c>
      <c r="W54" s="111">
        <v>3.54</v>
      </c>
      <c r="X54" s="116">
        <v>8.4</v>
      </c>
      <c r="Y54" s="116">
        <v>0.44</v>
      </c>
    </row>
    <row r="55" spans="1:25" hidden="1" x14ac:dyDescent="0.3">
      <c r="A55" s="140">
        <v>449</v>
      </c>
      <c r="B55" s="59">
        <v>245</v>
      </c>
      <c r="C55" s="62">
        <v>1.0740000000000001</v>
      </c>
      <c r="D55" s="58">
        <v>3500</v>
      </c>
      <c r="E55" s="72">
        <v>2.2000000000000002</v>
      </c>
      <c r="F55" s="73">
        <v>70</v>
      </c>
      <c r="G55" s="83">
        <v>20</v>
      </c>
      <c r="H55" s="84">
        <v>20</v>
      </c>
      <c r="I55" s="95"/>
      <c r="J55" s="96"/>
      <c r="K55" s="92"/>
      <c r="L55" s="93"/>
      <c r="M55" s="94"/>
      <c r="N55" s="92"/>
      <c r="O55" s="83">
        <v>33987</v>
      </c>
      <c r="P55" s="73">
        <v>19</v>
      </c>
      <c r="Q55" s="86">
        <v>1.06</v>
      </c>
      <c r="R55" s="73">
        <v>5.26</v>
      </c>
      <c r="S55" s="88">
        <v>34</v>
      </c>
      <c r="T55" s="75">
        <v>72</v>
      </c>
      <c r="U55" s="77">
        <v>72</v>
      </c>
      <c r="V55" s="127">
        <v>1</v>
      </c>
      <c r="W55" s="111">
        <v>3.46</v>
      </c>
      <c r="X55" s="116">
        <v>8.4</v>
      </c>
      <c r="Y55" s="116">
        <v>0.52</v>
      </c>
    </row>
    <row r="56" spans="1:25" hidden="1" x14ac:dyDescent="0.3">
      <c r="A56" s="140">
        <v>450</v>
      </c>
      <c r="B56" s="59">
        <v>235</v>
      </c>
      <c r="C56" s="62">
        <v>1.07</v>
      </c>
      <c r="D56" s="58">
        <v>3500</v>
      </c>
      <c r="E56" s="72">
        <v>2.2000000000000002</v>
      </c>
      <c r="F56" s="73">
        <v>70</v>
      </c>
      <c r="G56" s="83">
        <v>20</v>
      </c>
      <c r="H56" s="84">
        <v>20</v>
      </c>
      <c r="I56" s="91"/>
      <c r="J56" s="90"/>
      <c r="K56" s="92"/>
      <c r="L56" s="93"/>
      <c r="M56" s="94"/>
      <c r="N56" s="92"/>
      <c r="O56" s="83">
        <v>33987</v>
      </c>
      <c r="P56" s="73">
        <v>19</v>
      </c>
      <c r="Q56" s="86">
        <v>1.0580000000000001</v>
      </c>
      <c r="R56" s="73">
        <v>5.29</v>
      </c>
      <c r="S56" s="88">
        <v>33</v>
      </c>
      <c r="T56" s="75">
        <v>68</v>
      </c>
      <c r="U56" s="77">
        <v>68</v>
      </c>
      <c r="V56" s="127">
        <v>1</v>
      </c>
      <c r="W56" s="111">
        <v>3.47</v>
      </c>
      <c r="X56" s="116">
        <v>8.4</v>
      </c>
      <c r="Y56" s="116">
        <v>0.53</v>
      </c>
    </row>
    <row r="57" spans="1:25" hidden="1" x14ac:dyDescent="0.3">
      <c r="A57" s="140">
        <v>451</v>
      </c>
      <c r="B57" s="59">
        <v>270</v>
      </c>
      <c r="C57" s="62">
        <v>1.0720000000000001</v>
      </c>
      <c r="D57" s="58">
        <v>3500</v>
      </c>
      <c r="E57" s="72">
        <v>2.1</v>
      </c>
      <c r="F57" s="73">
        <v>71</v>
      </c>
      <c r="G57" s="83">
        <v>20</v>
      </c>
      <c r="H57" s="84">
        <v>20</v>
      </c>
      <c r="I57" s="91"/>
      <c r="J57" s="90"/>
      <c r="K57" s="92"/>
      <c r="L57" s="93"/>
      <c r="M57" s="94"/>
      <c r="N57" s="92"/>
      <c r="O57" s="83">
        <v>33985</v>
      </c>
      <c r="P57" s="73">
        <v>19</v>
      </c>
      <c r="Q57" s="86">
        <v>1.06</v>
      </c>
      <c r="R57" s="73">
        <v>5.24</v>
      </c>
      <c r="S57" s="88">
        <v>34</v>
      </c>
      <c r="T57" s="75">
        <v>52</v>
      </c>
      <c r="U57" s="77">
        <v>72</v>
      </c>
      <c r="V57" s="127">
        <v>1</v>
      </c>
      <c r="W57" s="111">
        <v>3.52</v>
      </c>
      <c r="X57" s="116">
        <v>8.3000000000000007</v>
      </c>
      <c r="Y57" s="116">
        <v>0.55000000000000004</v>
      </c>
    </row>
    <row r="58" spans="1:25" hidden="1" x14ac:dyDescent="0.3">
      <c r="A58" s="140">
        <v>452</v>
      </c>
      <c r="B58" s="59">
        <v>240</v>
      </c>
      <c r="C58" s="60">
        <v>1.075</v>
      </c>
      <c r="D58" s="58">
        <v>3500</v>
      </c>
      <c r="E58" s="72">
        <v>2.2000000000000002</v>
      </c>
      <c r="F58" s="73">
        <v>70</v>
      </c>
      <c r="G58" s="83">
        <v>20</v>
      </c>
      <c r="H58" s="84">
        <v>20</v>
      </c>
      <c r="I58" s="94"/>
      <c r="J58" s="92"/>
      <c r="K58" s="92"/>
      <c r="L58" s="93"/>
      <c r="M58" s="94"/>
      <c r="N58" s="92"/>
      <c r="O58" s="83">
        <v>33988</v>
      </c>
      <c r="P58" s="73">
        <v>19</v>
      </c>
      <c r="Q58" s="86">
        <v>1.06</v>
      </c>
      <c r="R58" s="73">
        <v>5.28</v>
      </c>
      <c r="S58" s="88">
        <v>34</v>
      </c>
      <c r="T58" s="75">
        <v>72</v>
      </c>
      <c r="U58" s="77">
        <v>72</v>
      </c>
      <c r="V58" s="127">
        <v>1</v>
      </c>
      <c r="W58" s="111">
        <v>3.42</v>
      </c>
      <c r="X58" s="116">
        <v>8.4</v>
      </c>
      <c r="Y58" s="116">
        <v>0.5</v>
      </c>
    </row>
    <row r="59" spans="1:25" hidden="1" x14ac:dyDescent="0.3">
      <c r="A59" s="140">
        <v>453</v>
      </c>
      <c r="B59" s="59">
        <v>233</v>
      </c>
      <c r="C59" s="61">
        <v>1.071</v>
      </c>
      <c r="D59" s="58">
        <v>3500</v>
      </c>
      <c r="E59" s="72">
        <v>2</v>
      </c>
      <c r="F59" s="73">
        <v>70</v>
      </c>
      <c r="G59" s="83">
        <v>20</v>
      </c>
      <c r="H59" s="84">
        <v>20</v>
      </c>
      <c r="I59" s="94"/>
      <c r="J59" s="92"/>
      <c r="K59" s="92"/>
      <c r="L59" s="93"/>
      <c r="M59" s="94"/>
      <c r="N59" s="92"/>
      <c r="O59" s="83">
        <v>33985</v>
      </c>
      <c r="P59" s="73">
        <v>18</v>
      </c>
      <c r="Q59" s="86">
        <v>1.06</v>
      </c>
      <c r="R59" s="73">
        <v>5.25</v>
      </c>
      <c r="S59" s="88">
        <v>34</v>
      </c>
      <c r="T59" s="75">
        <v>48</v>
      </c>
      <c r="U59" s="77">
        <v>70</v>
      </c>
      <c r="V59" s="127">
        <v>1</v>
      </c>
      <c r="W59" s="111">
        <v>3.48</v>
      </c>
      <c r="X59" s="116">
        <v>8.3000000000000007</v>
      </c>
      <c r="Y59" s="116">
        <v>0.48</v>
      </c>
    </row>
    <row r="60" spans="1:25" hidden="1" x14ac:dyDescent="0.3">
      <c r="A60" s="140">
        <v>454</v>
      </c>
      <c r="B60" s="59">
        <v>250</v>
      </c>
      <c r="C60" s="61">
        <v>1.069</v>
      </c>
      <c r="D60" s="58">
        <v>3500</v>
      </c>
      <c r="E60" s="72">
        <v>2.1</v>
      </c>
      <c r="F60" s="73">
        <v>70</v>
      </c>
      <c r="G60" s="83">
        <v>20</v>
      </c>
      <c r="H60" s="84">
        <v>20</v>
      </c>
      <c r="I60" s="94"/>
      <c r="J60" s="92"/>
      <c r="K60" s="92"/>
      <c r="L60" s="93"/>
      <c r="M60" s="94"/>
      <c r="N60" s="92"/>
      <c r="O60" s="83">
        <v>33986</v>
      </c>
      <c r="P60" s="73">
        <v>19</v>
      </c>
      <c r="Q60" s="86">
        <v>1.0589999999999999</v>
      </c>
      <c r="R60" s="73">
        <v>5.24</v>
      </c>
      <c r="S60" s="88">
        <v>34</v>
      </c>
      <c r="T60" s="75">
        <v>44</v>
      </c>
      <c r="U60" s="77">
        <v>70</v>
      </c>
      <c r="V60" s="127">
        <v>1</v>
      </c>
      <c r="W60" s="111">
        <v>3.49</v>
      </c>
      <c r="X60" s="116">
        <v>8.3000000000000007</v>
      </c>
      <c r="Y60" s="116">
        <v>0.5</v>
      </c>
    </row>
    <row r="61" spans="1:25" hidden="1" x14ac:dyDescent="0.3">
      <c r="A61" s="140">
        <v>455</v>
      </c>
      <c r="B61" s="59">
        <v>250</v>
      </c>
      <c r="C61" s="61">
        <v>1.0720000000000001</v>
      </c>
      <c r="D61" s="58">
        <v>3500</v>
      </c>
      <c r="E61" s="72">
        <v>2</v>
      </c>
      <c r="F61" s="73">
        <v>70</v>
      </c>
      <c r="G61" s="83">
        <v>20</v>
      </c>
      <c r="H61" s="84">
        <v>20</v>
      </c>
      <c r="I61" s="94"/>
      <c r="J61" s="92"/>
      <c r="K61" s="92"/>
      <c r="L61" s="93"/>
      <c r="M61" s="94"/>
      <c r="N61" s="92"/>
      <c r="O61" s="83">
        <v>33988</v>
      </c>
      <c r="P61" s="73">
        <v>19</v>
      </c>
      <c r="Q61" s="86">
        <v>1.06</v>
      </c>
      <c r="R61" s="73">
        <v>5.32</v>
      </c>
      <c r="S61" s="88">
        <v>34</v>
      </c>
      <c r="T61" s="75">
        <v>48</v>
      </c>
      <c r="U61" s="77">
        <v>72</v>
      </c>
      <c r="V61" s="127">
        <v>1</v>
      </c>
      <c r="W61" s="111">
        <v>3.47</v>
      </c>
      <c r="X61" s="116">
        <v>8.4</v>
      </c>
      <c r="Y61" s="116">
        <v>0.5</v>
      </c>
    </row>
    <row r="62" spans="1:25" hidden="1" x14ac:dyDescent="0.3">
      <c r="A62" s="140">
        <v>456</v>
      </c>
      <c r="B62" s="59">
        <v>305</v>
      </c>
      <c r="C62" s="61">
        <v>1.07</v>
      </c>
      <c r="D62" s="58">
        <v>3500</v>
      </c>
      <c r="E62" s="72">
        <v>2.2000000000000002</v>
      </c>
      <c r="F62" s="73">
        <v>70</v>
      </c>
      <c r="G62" s="83">
        <v>20</v>
      </c>
      <c r="H62" s="84">
        <v>20</v>
      </c>
      <c r="I62" s="94"/>
      <c r="J62" s="92"/>
      <c r="K62" s="92"/>
      <c r="L62" s="93"/>
      <c r="M62" s="94"/>
      <c r="N62" s="92"/>
      <c r="O62" s="83">
        <v>33985</v>
      </c>
      <c r="P62" s="73">
        <v>19</v>
      </c>
      <c r="Q62" s="86">
        <v>1.06</v>
      </c>
      <c r="R62" s="73">
        <v>5.24</v>
      </c>
      <c r="S62" s="88">
        <v>34</v>
      </c>
      <c r="T62" s="75">
        <v>52</v>
      </c>
      <c r="U62" s="77">
        <v>74</v>
      </c>
      <c r="V62" s="127">
        <v>1</v>
      </c>
      <c r="W62" s="111">
        <v>3.52</v>
      </c>
      <c r="X62" s="116">
        <v>8.3000000000000007</v>
      </c>
      <c r="Y62" s="116">
        <v>0.51</v>
      </c>
    </row>
    <row r="63" spans="1:25" hidden="1" x14ac:dyDescent="0.3">
      <c r="A63" s="140">
        <v>457</v>
      </c>
      <c r="B63" s="59">
        <v>300</v>
      </c>
      <c r="C63" s="61">
        <v>1.0740000000000001</v>
      </c>
      <c r="D63" s="58">
        <v>3500</v>
      </c>
      <c r="E63" s="72">
        <v>2</v>
      </c>
      <c r="F63" s="73">
        <v>70</v>
      </c>
      <c r="G63" s="83">
        <v>20</v>
      </c>
      <c r="H63" s="84">
        <v>20</v>
      </c>
      <c r="I63" s="94"/>
      <c r="J63" s="92"/>
      <c r="K63" s="92"/>
      <c r="L63" s="93"/>
      <c r="M63" s="94"/>
      <c r="N63" s="92"/>
      <c r="O63" s="83">
        <v>33988</v>
      </c>
      <c r="P63" s="73">
        <v>18</v>
      </c>
      <c r="Q63" s="86">
        <v>1.0580000000000001</v>
      </c>
      <c r="R63" s="73">
        <v>5.26</v>
      </c>
      <c r="S63" s="88">
        <v>33</v>
      </c>
      <c r="T63" s="75">
        <v>54</v>
      </c>
      <c r="U63" s="77">
        <v>74</v>
      </c>
      <c r="V63" s="127">
        <v>1</v>
      </c>
      <c r="W63" s="111">
        <v>3.42</v>
      </c>
      <c r="X63" s="116">
        <v>8.3000000000000007</v>
      </c>
      <c r="Y63" s="116">
        <v>0.46</v>
      </c>
    </row>
    <row r="64" spans="1:25" hidden="1" x14ac:dyDescent="0.3">
      <c r="A64" s="140">
        <v>458</v>
      </c>
      <c r="B64" s="59">
        <v>302</v>
      </c>
      <c r="C64" s="61">
        <v>1.07</v>
      </c>
      <c r="D64" s="58">
        <v>3500</v>
      </c>
      <c r="E64" s="72">
        <v>2.1</v>
      </c>
      <c r="F64" s="73">
        <v>70</v>
      </c>
      <c r="G64" s="83">
        <v>20</v>
      </c>
      <c r="H64" s="84">
        <v>20</v>
      </c>
      <c r="I64" s="94"/>
      <c r="J64" s="92"/>
      <c r="K64" s="92"/>
      <c r="L64" s="93"/>
      <c r="M64" s="94"/>
      <c r="N64" s="92"/>
      <c r="O64" s="83">
        <v>33985</v>
      </c>
      <c r="P64" s="73">
        <v>19</v>
      </c>
      <c r="Q64" s="86">
        <v>1.06</v>
      </c>
      <c r="R64" s="73">
        <v>5.28</v>
      </c>
      <c r="S64" s="88">
        <v>33</v>
      </c>
      <c r="T64" s="75">
        <v>50</v>
      </c>
      <c r="U64" s="77">
        <v>72</v>
      </c>
      <c r="V64" s="127">
        <v>1</v>
      </c>
      <c r="W64" s="111">
        <v>3.52</v>
      </c>
      <c r="X64" s="116">
        <v>8.4</v>
      </c>
      <c r="Y64" s="116">
        <v>0.5</v>
      </c>
    </row>
    <row r="65" spans="1:25" hidden="1" x14ac:dyDescent="0.3">
      <c r="A65" s="140">
        <v>459</v>
      </c>
      <c r="B65" s="59">
        <v>307</v>
      </c>
      <c r="C65" s="61">
        <v>1.071</v>
      </c>
      <c r="D65" s="58">
        <v>3500</v>
      </c>
      <c r="E65" s="72">
        <v>2</v>
      </c>
      <c r="F65" s="73">
        <v>70</v>
      </c>
      <c r="G65" s="83">
        <v>20</v>
      </c>
      <c r="H65" s="84">
        <v>20</v>
      </c>
      <c r="I65" s="94"/>
      <c r="J65" s="92"/>
      <c r="K65" s="92"/>
      <c r="L65" s="93"/>
      <c r="M65" s="94"/>
      <c r="N65" s="92"/>
      <c r="O65" s="83">
        <v>33985</v>
      </c>
      <c r="P65" s="73">
        <v>19</v>
      </c>
      <c r="Q65" s="86">
        <v>1.0589999999999999</v>
      </c>
      <c r="R65" s="73">
        <v>5.26</v>
      </c>
      <c r="S65" s="88">
        <v>34</v>
      </c>
      <c r="T65" s="75">
        <v>50</v>
      </c>
      <c r="U65" s="75">
        <v>72</v>
      </c>
      <c r="V65" s="127">
        <v>1</v>
      </c>
      <c r="W65" s="111">
        <v>3.53</v>
      </c>
      <c r="X65" s="116">
        <v>8.3000000000000007</v>
      </c>
      <c r="Y65" s="116">
        <v>0.5</v>
      </c>
    </row>
    <row r="66" spans="1:25" hidden="1" x14ac:dyDescent="0.3">
      <c r="A66" s="140">
        <v>460</v>
      </c>
      <c r="B66" s="59">
        <v>295</v>
      </c>
      <c r="C66" s="61">
        <v>1.073</v>
      </c>
      <c r="D66" s="58">
        <v>3500</v>
      </c>
      <c r="E66" s="72">
        <v>2</v>
      </c>
      <c r="F66" s="73">
        <v>70</v>
      </c>
      <c r="G66" s="83">
        <v>20</v>
      </c>
      <c r="H66" s="84">
        <v>20</v>
      </c>
      <c r="I66" s="94"/>
      <c r="J66" s="92"/>
      <c r="K66" s="92"/>
      <c r="L66" s="93"/>
      <c r="M66" s="94"/>
      <c r="N66" s="92"/>
      <c r="O66" s="83">
        <v>33986</v>
      </c>
      <c r="P66" s="73">
        <v>19</v>
      </c>
      <c r="Q66" s="86">
        <v>1.06</v>
      </c>
      <c r="R66" s="73">
        <v>5.32</v>
      </c>
      <c r="S66" s="88">
        <v>34</v>
      </c>
      <c r="T66" s="75">
        <v>48</v>
      </c>
      <c r="U66" s="75">
        <v>76</v>
      </c>
      <c r="V66" s="127">
        <v>1</v>
      </c>
      <c r="W66" s="111">
        <v>3.42</v>
      </c>
      <c r="X66" s="116">
        <v>8.3000000000000007</v>
      </c>
      <c r="Y66" s="116">
        <v>0.45</v>
      </c>
    </row>
    <row r="67" spans="1:25" hidden="1" x14ac:dyDescent="0.3">
      <c r="A67" s="140">
        <v>461</v>
      </c>
      <c r="B67" s="59">
        <v>267</v>
      </c>
      <c r="C67" s="61">
        <v>1.075</v>
      </c>
      <c r="D67" s="58">
        <v>3500</v>
      </c>
      <c r="E67" s="72">
        <v>2.1</v>
      </c>
      <c r="F67" s="73">
        <v>70</v>
      </c>
      <c r="G67" s="83">
        <v>20</v>
      </c>
      <c r="H67" s="84">
        <v>20</v>
      </c>
      <c r="I67" s="94"/>
      <c r="J67" s="92"/>
      <c r="K67" s="92"/>
      <c r="L67" s="93"/>
      <c r="M67" s="94"/>
      <c r="N67" s="92"/>
      <c r="O67" s="83">
        <v>33985</v>
      </c>
      <c r="P67" s="73">
        <v>19</v>
      </c>
      <c r="Q67" s="86">
        <v>1.06</v>
      </c>
      <c r="R67" s="73">
        <v>5.28</v>
      </c>
      <c r="S67" s="88">
        <v>34</v>
      </c>
      <c r="T67" s="75">
        <v>48</v>
      </c>
      <c r="U67" s="75">
        <v>72</v>
      </c>
      <c r="V67" s="127">
        <v>1</v>
      </c>
      <c r="W67" s="111">
        <v>3.45</v>
      </c>
      <c r="X67" s="116">
        <v>8.4</v>
      </c>
      <c r="Y67" s="116">
        <v>0.48</v>
      </c>
    </row>
    <row r="68" spans="1:25" hidden="1" x14ac:dyDescent="0.3">
      <c r="A68" s="140">
        <v>462</v>
      </c>
      <c r="B68" s="59">
        <v>255</v>
      </c>
      <c r="C68" s="60">
        <v>1.071</v>
      </c>
      <c r="D68" s="58">
        <v>3500</v>
      </c>
      <c r="E68" s="72">
        <v>2</v>
      </c>
      <c r="F68" s="73">
        <v>70</v>
      </c>
      <c r="G68" s="83">
        <v>20</v>
      </c>
      <c r="H68" s="84">
        <v>20</v>
      </c>
      <c r="I68" s="94"/>
      <c r="J68" s="92"/>
      <c r="K68" s="92"/>
      <c r="L68" s="93"/>
      <c r="M68" s="94"/>
      <c r="N68" s="92"/>
      <c r="O68" s="83">
        <v>33988</v>
      </c>
      <c r="P68" s="73">
        <v>18</v>
      </c>
      <c r="Q68" s="86">
        <v>1.06</v>
      </c>
      <c r="R68" s="73">
        <v>5.25</v>
      </c>
      <c r="S68" s="88">
        <v>34</v>
      </c>
      <c r="T68" s="75">
        <v>48</v>
      </c>
      <c r="U68" s="75">
        <v>72</v>
      </c>
      <c r="V68" s="127">
        <v>1</v>
      </c>
      <c r="W68" s="111">
        <v>3.48</v>
      </c>
      <c r="X68" s="116">
        <v>8.3000000000000007</v>
      </c>
      <c r="Y68" s="116">
        <v>0.48</v>
      </c>
    </row>
    <row r="69" spans="1:25" hidden="1" x14ac:dyDescent="0.3">
      <c r="A69" s="140">
        <v>463</v>
      </c>
      <c r="B69" s="59">
        <v>268</v>
      </c>
      <c r="C69" s="62">
        <v>1.0720000000000001</v>
      </c>
      <c r="D69" s="58">
        <v>3500</v>
      </c>
      <c r="E69" s="72">
        <v>2.2000000000000002</v>
      </c>
      <c r="F69" s="73">
        <v>70</v>
      </c>
      <c r="G69" s="83">
        <v>20</v>
      </c>
      <c r="H69" s="84">
        <v>20</v>
      </c>
      <c r="I69" s="94"/>
      <c r="J69" s="92"/>
      <c r="K69" s="92"/>
      <c r="L69" s="93"/>
      <c r="M69" s="94"/>
      <c r="N69" s="92"/>
      <c r="O69" s="83">
        <v>33988</v>
      </c>
      <c r="P69" s="73">
        <v>18</v>
      </c>
      <c r="Q69" s="86">
        <v>1.06</v>
      </c>
      <c r="R69" s="73">
        <v>5.26</v>
      </c>
      <c r="S69" s="88">
        <v>34</v>
      </c>
      <c r="T69" s="75">
        <v>56</v>
      </c>
      <c r="U69" s="75">
        <v>72</v>
      </c>
      <c r="V69" s="127">
        <v>1</v>
      </c>
      <c r="W69" s="111">
        <v>3.5</v>
      </c>
      <c r="X69" s="116">
        <v>8.3000000000000007</v>
      </c>
      <c r="Y69" s="116">
        <v>0.4</v>
      </c>
    </row>
    <row r="70" spans="1:25" hidden="1" x14ac:dyDescent="0.3">
      <c r="A70" s="140">
        <v>464</v>
      </c>
      <c r="B70" s="59">
        <v>255</v>
      </c>
      <c r="C70" s="62">
        <v>1.075</v>
      </c>
      <c r="D70" s="58">
        <v>3500</v>
      </c>
      <c r="E70" s="72">
        <v>2</v>
      </c>
      <c r="F70" s="73">
        <v>70</v>
      </c>
      <c r="G70" s="83">
        <v>20</v>
      </c>
      <c r="H70" s="84">
        <v>20</v>
      </c>
      <c r="I70" s="94"/>
      <c r="J70" s="92"/>
      <c r="K70" s="92"/>
      <c r="L70" s="93"/>
      <c r="M70" s="94"/>
      <c r="N70" s="92"/>
      <c r="O70" s="83">
        <v>33986</v>
      </c>
      <c r="P70" s="73">
        <v>19</v>
      </c>
      <c r="Q70" s="86">
        <v>1.0589999999999999</v>
      </c>
      <c r="R70" s="73">
        <v>5.28</v>
      </c>
      <c r="S70" s="88">
        <v>33</v>
      </c>
      <c r="T70" s="75">
        <v>48</v>
      </c>
      <c r="U70" s="75">
        <v>72</v>
      </c>
      <c r="V70" s="127">
        <v>1</v>
      </c>
      <c r="W70" s="111">
        <v>3.48</v>
      </c>
      <c r="X70" s="116">
        <v>8.4</v>
      </c>
      <c r="Y70" s="116">
        <v>0.45</v>
      </c>
    </row>
    <row r="71" spans="1:25" hidden="1" x14ac:dyDescent="0.3">
      <c r="A71" s="141">
        <v>465</v>
      </c>
      <c r="B71" s="59">
        <v>233</v>
      </c>
      <c r="C71" s="62">
        <v>1.0740000000000001</v>
      </c>
      <c r="D71" s="58">
        <v>3500</v>
      </c>
      <c r="E71" s="72">
        <v>2.2000000000000002</v>
      </c>
      <c r="F71" s="73">
        <v>71</v>
      </c>
      <c r="G71" s="83">
        <v>20</v>
      </c>
      <c r="H71" s="84">
        <v>20</v>
      </c>
      <c r="I71" s="94"/>
      <c r="J71" s="92"/>
      <c r="K71" s="92"/>
      <c r="L71" s="93"/>
      <c r="M71" s="94"/>
      <c r="N71" s="92"/>
      <c r="O71" s="83">
        <v>33987</v>
      </c>
      <c r="P71" s="73">
        <v>19</v>
      </c>
      <c r="Q71" s="86">
        <v>1.06</v>
      </c>
      <c r="R71" s="73">
        <v>5.31</v>
      </c>
      <c r="S71" s="88">
        <v>34</v>
      </c>
      <c r="T71" s="75">
        <v>48</v>
      </c>
      <c r="U71" s="75">
        <v>68</v>
      </c>
      <c r="V71" s="127">
        <v>1</v>
      </c>
      <c r="W71" s="111">
        <v>3.51</v>
      </c>
      <c r="X71" s="116">
        <v>8.3000000000000007</v>
      </c>
      <c r="Y71" s="116">
        <v>0.5</v>
      </c>
    </row>
    <row r="72" spans="1:25" hidden="1" x14ac:dyDescent="0.3">
      <c r="A72" s="141">
        <v>466</v>
      </c>
      <c r="B72" s="59">
        <v>250</v>
      </c>
      <c r="C72" s="60">
        <v>1.0720000000000001</v>
      </c>
      <c r="D72" s="58">
        <v>3500</v>
      </c>
      <c r="E72" s="72">
        <v>2.1</v>
      </c>
      <c r="F72" s="73">
        <v>70</v>
      </c>
      <c r="G72" s="83">
        <v>20</v>
      </c>
      <c r="H72" s="84">
        <v>20</v>
      </c>
      <c r="I72" s="94"/>
      <c r="J72" s="92"/>
      <c r="K72" s="92"/>
      <c r="L72" s="93"/>
      <c r="M72" s="94"/>
      <c r="N72" s="92"/>
      <c r="O72" s="83">
        <v>33987</v>
      </c>
      <c r="P72" s="73">
        <v>19</v>
      </c>
      <c r="Q72" s="86">
        <v>1.0589999999999999</v>
      </c>
      <c r="R72" s="73">
        <v>5.28</v>
      </c>
      <c r="S72" s="88">
        <v>34</v>
      </c>
      <c r="T72" s="75">
        <v>48</v>
      </c>
      <c r="U72" s="75">
        <v>68</v>
      </c>
      <c r="V72" s="127">
        <v>1</v>
      </c>
      <c r="W72" s="111">
        <v>3.48</v>
      </c>
      <c r="X72" s="116">
        <v>8.3000000000000007</v>
      </c>
      <c r="Y72" s="116">
        <v>0.5</v>
      </c>
    </row>
    <row r="73" spans="1:25" hidden="1" x14ac:dyDescent="0.3">
      <c r="A73" s="141">
        <v>467</v>
      </c>
      <c r="B73" s="59">
        <v>250</v>
      </c>
      <c r="C73" s="60">
        <v>1.071</v>
      </c>
      <c r="D73" s="58">
        <v>3500</v>
      </c>
      <c r="E73" s="72">
        <v>2</v>
      </c>
      <c r="F73" s="73">
        <v>70</v>
      </c>
      <c r="G73" s="83">
        <v>20</v>
      </c>
      <c r="H73" s="84">
        <v>20</v>
      </c>
      <c r="I73" s="94"/>
      <c r="J73" s="92"/>
      <c r="K73" s="92"/>
      <c r="L73" s="93"/>
      <c r="M73" s="94"/>
      <c r="N73" s="92"/>
      <c r="O73" s="83">
        <v>33988</v>
      </c>
      <c r="P73" s="73">
        <v>18</v>
      </c>
      <c r="Q73" s="86">
        <v>1.06</v>
      </c>
      <c r="R73" s="73">
        <v>5.26</v>
      </c>
      <c r="S73" s="88">
        <v>33</v>
      </c>
      <c r="T73" s="75">
        <v>48</v>
      </c>
      <c r="U73" s="75">
        <v>60</v>
      </c>
      <c r="V73" s="127">
        <v>1</v>
      </c>
      <c r="W73" s="111">
        <v>3.44</v>
      </c>
      <c r="X73" s="116">
        <v>8.3000000000000007</v>
      </c>
      <c r="Y73" s="116">
        <v>0.47</v>
      </c>
    </row>
    <row r="74" spans="1:25" hidden="1" x14ac:dyDescent="0.3">
      <c r="A74" s="141">
        <v>468</v>
      </c>
      <c r="B74" s="59">
        <v>255</v>
      </c>
      <c r="C74" s="60">
        <v>1.075</v>
      </c>
      <c r="D74" s="58">
        <v>3500</v>
      </c>
      <c r="E74" s="72">
        <v>2.2000000000000002</v>
      </c>
      <c r="F74" s="73">
        <v>70</v>
      </c>
      <c r="G74" s="83">
        <v>20</v>
      </c>
      <c r="H74" s="84">
        <v>20</v>
      </c>
      <c r="I74" s="94"/>
      <c r="J74" s="92"/>
      <c r="K74" s="92"/>
      <c r="L74" s="93"/>
      <c r="M74" s="94"/>
      <c r="N74" s="92"/>
      <c r="O74" s="83">
        <v>33985</v>
      </c>
      <c r="P74" s="73">
        <v>19</v>
      </c>
      <c r="Q74" s="86">
        <v>1.06</v>
      </c>
      <c r="R74" s="73">
        <v>5.24</v>
      </c>
      <c r="S74" s="88">
        <v>34</v>
      </c>
      <c r="T74" s="75">
        <v>48</v>
      </c>
      <c r="U74" s="75">
        <v>72</v>
      </c>
      <c r="V74" s="127">
        <v>1</v>
      </c>
      <c r="W74" s="111">
        <v>3.46</v>
      </c>
      <c r="X74" s="116">
        <v>8.3000000000000007</v>
      </c>
      <c r="Y74" s="116">
        <v>0.5</v>
      </c>
    </row>
    <row r="75" spans="1:25" hidden="1" x14ac:dyDescent="0.3">
      <c r="A75" s="141">
        <v>469</v>
      </c>
      <c r="B75" s="59">
        <v>268</v>
      </c>
      <c r="C75" s="60">
        <v>1.07</v>
      </c>
      <c r="D75" s="58">
        <v>3500</v>
      </c>
      <c r="E75" s="72">
        <v>2</v>
      </c>
      <c r="F75" s="73">
        <v>70</v>
      </c>
      <c r="G75" s="83">
        <v>20</v>
      </c>
      <c r="H75" s="84">
        <v>20</v>
      </c>
      <c r="I75" s="94"/>
      <c r="J75" s="92"/>
      <c r="K75" s="92"/>
      <c r="L75" s="93"/>
      <c r="M75" s="94"/>
      <c r="N75" s="92"/>
      <c r="O75" s="83">
        <v>33986</v>
      </c>
      <c r="P75" s="73">
        <v>19</v>
      </c>
      <c r="Q75" s="86">
        <v>1.06</v>
      </c>
      <c r="R75" s="73">
        <v>5.31</v>
      </c>
      <c r="S75" s="88">
        <v>34</v>
      </c>
      <c r="T75" s="75">
        <v>48</v>
      </c>
      <c r="U75" s="75">
        <v>64</v>
      </c>
      <c r="V75" s="127">
        <v>1</v>
      </c>
      <c r="W75" s="111">
        <v>3.52</v>
      </c>
      <c r="X75" s="116">
        <v>8.4</v>
      </c>
      <c r="Y75" s="116">
        <v>0.38</v>
      </c>
    </row>
    <row r="76" spans="1:25" hidden="1" x14ac:dyDescent="0.3">
      <c r="A76" s="141">
        <v>470</v>
      </c>
      <c r="B76" s="59">
        <v>265</v>
      </c>
      <c r="C76" s="60">
        <v>1.069</v>
      </c>
      <c r="D76" s="58">
        <v>3500</v>
      </c>
      <c r="E76" s="72">
        <v>2.2000000000000002</v>
      </c>
      <c r="F76" s="73">
        <v>71</v>
      </c>
      <c r="G76" s="83">
        <v>20</v>
      </c>
      <c r="H76" s="84">
        <v>20</v>
      </c>
      <c r="I76" s="94"/>
      <c r="J76" s="92"/>
      <c r="K76" s="92"/>
      <c r="L76" s="93"/>
      <c r="M76" s="94"/>
      <c r="N76" s="92"/>
      <c r="O76" s="83">
        <v>33988</v>
      </c>
      <c r="P76" s="73">
        <v>18</v>
      </c>
      <c r="Q76" s="86">
        <v>1.06</v>
      </c>
      <c r="R76" s="73">
        <v>5.24</v>
      </c>
      <c r="S76" s="88">
        <v>33</v>
      </c>
      <c r="T76" s="75">
        <v>56</v>
      </c>
      <c r="U76" s="75">
        <v>80</v>
      </c>
      <c r="V76" s="127">
        <v>1</v>
      </c>
      <c r="W76" s="111">
        <v>3.54</v>
      </c>
      <c r="X76" s="116">
        <v>8.3000000000000007</v>
      </c>
      <c r="Y76" s="116">
        <v>0.38</v>
      </c>
    </row>
    <row r="77" spans="1:25" hidden="1" x14ac:dyDescent="0.3">
      <c r="A77" s="141">
        <v>476</v>
      </c>
      <c r="B77" s="59">
        <v>240</v>
      </c>
      <c r="C77" s="60">
        <v>1.071</v>
      </c>
      <c r="D77" s="58">
        <v>3500</v>
      </c>
      <c r="E77" s="82">
        <v>2</v>
      </c>
      <c r="F77" s="83">
        <v>70</v>
      </c>
      <c r="G77" s="83">
        <v>20</v>
      </c>
      <c r="H77" s="84">
        <v>20</v>
      </c>
      <c r="I77" s="94"/>
      <c r="J77" s="92"/>
      <c r="K77" s="92"/>
      <c r="L77" s="93"/>
      <c r="M77" s="94"/>
      <c r="N77" s="92"/>
      <c r="O77" s="83">
        <v>33985</v>
      </c>
      <c r="P77" s="73">
        <v>19</v>
      </c>
      <c r="Q77" s="86">
        <v>1.0580000000000001</v>
      </c>
      <c r="R77" s="73">
        <v>5.25</v>
      </c>
      <c r="S77" s="88">
        <v>34</v>
      </c>
      <c r="T77" s="75">
        <v>54</v>
      </c>
      <c r="U77" s="75">
        <v>72</v>
      </c>
      <c r="V77" s="127">
        <v>1</v>
      </c>
      <c r="W77" s="111">
        <v>3.54</v>
      </c>
      <c r="X77" s="116">
        <v>8.3000000000000007</v>
      </c>
      <c r="Y77" s="116">
        <v>0.39</v>
      </c>
    </row>
    <row r="78" spans="1:25" ht="14.5" hidden="1" thickBot="1" x14ac:dyDescent="0.35">
      <c r="A78" s="141">
        <v>477</v>
      </c>
      <c r="B78" s="63">
        <v>233</v>
      </c>
      <c r="C78" s="64">
        <v>1.073</v>
      </c>
      <c r="D78" s="66">
        <v>3500</v>
      </c>
      <c r="E78" s="97">
        <v>2.1</v>
      </c>
      <c r="F78" s="98">
        <v>71</v>
      </c>
      <c r="G78" s="98">
        <v>20</v>
      </c>
      <c r="H78" s="99">
        <v>20</v>
      </c>
      <c r="I78" s="100"/>
      <c r="J78" s="101"/>
      <c r="K78" s="101"/>
      <c r="L78" s="102"/>
      <c r="M78" s="100"/>
      <c r="N78" s="101"/>
      <c r="O78" s="98">
        <v>33988</v>
      </c>
      <c r="P78" s="79">
        <v>18</v>
      </c>
      <c r="Q78" s="103">
        <v>1.06</v>
      </c>
      <c r="R78" s="79">
        <v>5.28</v>
      </c>
      <c r="S78" s="104">
        <v>34</v>
      </c>
      <c r="T78" s="80">
        <v>50</v>
      </c>
      <c r="U78" s="80">
        <v>68</v>
      </c>
      <c r="V78" s="128">
        <v>1</v>
      </c>
      <c r="W78" s="129">
        <v>3.46</v>
      </c>
      <c r="X78" s="126">
        <v>8.4</v>
      </c>
      <c r="Y78" s="126">
        <v>0.4</v>
      </c>
    </row>
    <row r="80" spans="1:25" x14ac:dyDescent="0.3">
      <c r="B80" s="56" t="s">
        <v>145</v>
      </c>
      <c r="C80" s="56" t="s">
        <v>146</v>
      </c>
      <c r="W80" s="3"/>
    </row>
    <row r="81" spans="2:23" x14ac:dyDescent="0.3">
      <c r="B81" s="142" t="s">
        <v>147</v>
      </c>
      <c r="C81" s="142" t="s">
        <v>148</v>
      </c>
      <c r="W81" s="3"/>
    </row>
    <row r="82" spans="2:23" x14ac:dyDescent="0.3">
      <c r="B82" s="143" t="s">
        <v>149</v>
      </c>
      <c r="C82" s="143" t="s">
        <v>150</v>
      </c>
      <c r="W82" s="3"/>
    </row>
  </sheetData>
  <mergeCells count="5">
    <mergeCell ref="V1:Y1"/>
    <mergeCell ref="B1:C1"/>
    <mergeCell ref="E1:H1"/>
    <mergeCell ref="I1:L1"/>
    <mergeCell ref="M1:U1"/>
  </mergeCells>
  <pageMargins left="0.7" right="0.7" top="0.75" bottom="0.75" header="0.3" footer="0.3"/>
  <pageSetup orientation="portrait" r:id="rId1"/>
  <headerFooter>
    <oddFooter>&amp;C_x000D_&amp;1#&amp;"Calibri"&amp;15&amp;KA80000 * Highly Confidential *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32E7-4654-4BEC-9225-867FBFA436C8}">
  <dimension ref="A1:H138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6" sqref="A6"/>
      <selection pane="bottomRight" activeCell="M17" sqref="M17"/>
    </sheetView>
  </sheetViews>
  <sheetFormatPr defaultRowHeight="14" x14ac:dyDescent="0.25"/>
  <cols>
    <col min="1" max="1" width="11" style="1" bestFit="1" customWidth="1"/>
    <col min="2" max="5" width="20.54296875" style="21" customWidth="1"/>
    <col min="6" max="6" width="11.54296875" style="1" customWidth="1"/>
    <col min="7" max="7" width="11.7265625" style="1" customWidth="1"/>
    <col min="8" max="8" width="11.1796875" style="1" customWidth="1"/>
    <col min="9" max="16384" width="8.7265625" style="1"/>
  </cols>
  <sheetData>
    <row r="1" spans="1:8" s="2" customFormat="1" x14ac:dyDescent="0.3">
      <c r="A1" s="164"/>
      <c r="B1" s="246" t="s">
        <v>140</v>
      </c>
      <c r="C1" s="247"/>
      <c r="D1" s="247"/>
      <c r="E1" s="247"/>
      <c r="F1" s="224"/>
      <c r="G1" s="227" t="s">
        <v>141</v>
      </c>
      <c r="H1" s="228"/>
    </row>
    <row r="2" spans="1:8" s="145" customFormat="1" ht="56.5" thickBot="1" x14ac:dyDescent="0.35">
      <c r="A2" s="165" t="s">
        <v>10</v>
      </c>
      <c r="B2" s="191" t="s">
        <v>124</v>
      </c>
      <c r="C2" s="192" t="s">
        <v>125</v>
      </c>
      <c r="D2" s="192" t="s">
        <v>127</v>
      </c>
      <c r="E2" s="192" t="s">
        <v>126</v>
      </c>
      <c r="F2" s="170" t="s">
        <v>37</v>
      </c>
      <c r="G2" s="172" t="s">
        <v>38</v>
      </c>
      <c r="H2" s="173" t="s">
        <v>39</v>
      </c>
    </row>
    <row r="3" spans="1:8" x14ac:dyDescent="0.3">
      <c r="A3" s="175">
        <v>830</v>
      </c>
      <c r="B3" s="197">
        <v>1</v>
      </c>
      <c r="C3" s="198">
        <v>3.48</v>
      </c>
      <c r="D3" s="198">
        <v>8.3000000000000007</v>
      </c>
      <c r="E3" s="178">
        <v>0.41</v>
      </c>
      <c r="F3" s="200">
        <v>10</v>
      </c>
      <c r="G3" s="201">
        <v>20.970380000000002</v>
      </c>
      <c r="H3" s="190">
        <v>13127</v>
      </c>
    </row>
    <row r="4" spans="1:8" x14ac:dyDescent="0.3">
      <c r="A4" s="140">
        <v>831</v>
      </c>
      <c r="B4" s="67">
        <v>1</v>
      </c>
      <c r="C4" s="57">
        <v>3.47</v>
      </c>
      <c r="D4" s="61">
        <v>8.3000000000000007</v>
      </c>
      <c r="E4" s="61">
        <v>0.4</v>
      </c>
      <c r="F4" s="106">
        <v>10</v>
      </c>
      <c r="G4" s="130">
        <v>20.856100000000001</v>
      </c>
      <c r="H4" s="116">
        <v>13138</v>
      </c>
    </row>
    <row r="5" spans="1:8" x14ac:dyDescent="0.3">
      <c r="A5" s="140">
        <v>832</v>
      </c>
      <c r="B5" s="67">
        <v>1</v>
      </c>
      <c r="C5" s="57">
        <v>3.5</v>
      </c>
      <c r="D5" s="61">
        <v>8.3000000000000007</v>
      </c>
      <c r="E5" s="61">
        <v>0.43</v>
      </c>
      <c r="F5" s="106">
        <v>10</v>
      </c>
      <c r="G5" s="130">
        <v>20.913240000000002</v>
      </c>
      <c r="H5" s="116">
        <v>13155</v>
      </c>
    </row>
    <row r="6" spans="1:8" x14ac:dyDescent="0.3">
      <c r="A6" s="140">
        <v>833</v>
      </c>
      <c r="B6" s="67">
        <v>1</v>
      </c>
      <c r="C6" s="57">
        <v>3.49</v>
      </c>
      <c r="D6" s="61">
        <v>8.3000000000000007</v>
      </c>
      <c r="E6" s="61">
        <v>0.41</v>
      </c>
      <c r="F6" s="106">
        <v>10</v>
      </c>
      <c r="G6" s="130">
        <v>20.856100000000001</v>
      </c>
      <c r="H6" s="116">
        <v>13143</v>
      </c>
    </row>
    <row r="7" spans="1:8" x14ac:dyDescent="0.3">
      <c r="A7" s="140">
        <v>834</v>
      </c>
      <c r="B7" s="67">
        <v>1</v>
      </c>
      <c r="C7" s="57">
        <v>3.52</v>
      </c>
      <c r="D7" s="61">
        <v>8.3000000000000007</v>
      </c>
      <c r="E7" s="61">
        <v>0.48</v>
      </c>
      <c r="F7" s="106">
        <v>10</v>
      </c>
      <c r="G7" s="130">
        <v>20.913240000000002</v>
      </c>
      <c r="H7" s="116">
        <v>13126</v>
      </c>
    </row>
    <row r="8" spans="1:8" x14ac:dyDescent="0.3">
      <c r="A8" s="140">
        <v>835</v>
      </c>
      <c r="B8" s="67">
        <v>1</v>
      </c>
      <c r="C8" s="57">
        <v>3.42</v>
      </c>
      <c r="D8" s="61">
        <v>8.3000000000000007</v>
      </c>
      <c r="E8" s="61">
        <v>0.46</v>
      </c>
      <c r="F8" s="106">
        <v>10</v>
      </c>
      <c r="G8" s="130">
        <v>20.970380000000002</v>
      </c>
      <c r="H8" s="116">
        <v>13118</v>
      </c>
    </row>
    <row r="9" spans="1:8" x14ac:dyDescent="0.3">
      <c r="A9" s="140">
        <v>836</v>
      </c>
      <c r="B9" s="67">
        <v>1</v>
      </c>
      <c r="C9" s="57">
        <v>3.49</v>
      </c>
      <c r="D9" s="61">
        <v>8.3000000000000007</v>
      </c>
      <c r="E9" s="61">
        <v>0.48</v>
      </c>
      <c r="F9" s="106">
        <v>9.3000000000000007</v>
      </c>
      <c r="G9" s="130">
        <v>20.856100000000001</v>
      </c>
      <c r="H9" s="116">
        <v>13146</v>
      </c>
    </row>
    <row r="10" spans="1:8" x14ac:dyDescent="0.3">
      <c r="A10" s="140">
        <v>837</v>
      </c>
      <c r="B10" s="67">
        <v>1</v>
      </c>
      <c r="C10" s="57">
        <v>3.48</v>
      </c>
      <c r="D10" s="61">
        <v>8.1999999999999993</v>
      </c>
      <c r="E10" s="61">
        <v>0.44</v>
      </c>
      <c r="F10" s="106">
        <v>10</v>
      </c>
      <c r="G10" s="130">
        <v>20.684680000000004</v>
      </c>
      <c r="H10" s="116">
        <v>13139</v>
      </c>
    </row>
    <row r="11" spans="1:8" x14ac:dyDescent="0.3">
      <c r="A11" s="140">
        <v>838</v>
      </c>
      <c r="B11" s="67">
        <v>1</v>
      </c>
      <c r="C11" s="57">
        <v>3.42</v>
      </c>
      <c r="D11" s="61">
        <v>8.3000000000000007</v>
      </c>
      <c r="E11" s="61">
        <v>0.44</v>
      </c>
      <c r="F11" s="106">
        <v>10</v>
      </c>
      <c r="G11" s="130">
        <v>20.856100000000001</v>
      </c>
      <c r="H11" s="116">
        <v>13140</v>
      </c>
    </row>
    <row r="12" spans="1:8" x14ac:dyDescent="0.3">
      <c r="A12" s="140">
        <v>839</v>
      </c>
      <c r="B12" s="67">
        <v>1</v>
      </c>
      <c r="C12" s="57">
        <v>3.46</v>
      </c>
      <c r="D12" s="61">
        <v>8.3000000000000007</v>
      </c>
      <c r="E12" s="61">
        <v>0.39</v>
      </c>
      <c r="F12" s="106">
        <v>10</v>
      </c>
      <c r="G12" s="130">
        <v>20.913240000000002</v>
      </c>
      <c r="H12" s="116">
        <v>13129</v>
      </c>
    </row>
    <row r="13" spans="1:8" x14ac:dyDescent="0.3">
      <c r="A13" s="140">
        <v>840</v>
      </c>
      <c r="B13" s="67">
        <v>1</v>
      </c>
      <c r="C13" s="57">
        <v>3.41</v>
      </c>
      <c r="D13" s="61">
        <v>8.3000000000000007</v>
      </c>
      <c r="E13" s="61">
        <v>0.47</v>
      </c>
      <c r="F13" s="106">
        <v>10</v>
      </c>
      <c r="G13" s="130">
        <v>20.970380000000002</v>
      </c>
      <c r="H13" s="116">
        <v>13080</v>
      </c>
    </row>
    <row r="14" spans="1:8" x14ac:dyDescent="0.3">
      <c r="A14" s="140">
        <v>841</v>
      </c>
      <c r="B14" s="67">
        <v>1</v>
      </c>
      <c r="C14" s="57">
        <v>3.44</v>
      </c>
      <c r="D14" s="61">
        <v>8.3000000000000007</v>
      </c>
      <c r="E14" s="61">
        <v>0.43</v>
      </c>
      <c r="F14" s="106">
        <v>10</v>
      </c>
      <c r="G14" s="130">
        <v>20.856100000000001</v>
      </c>
      <c r="H14" s="116">
        <v>13137</v>
      </c>
    </row>
    <row r="15" spans="1:8" x14ac:dyDescent="0.3">
      <c r="A15" s="140">
        <v>842</v>
      </c>
      <c r="B15" s="67">
        <v>1</v>
      </c>
      <c r="C15" s="57">
        <v>3.47</v>
      </c>
      <c r="D15" s="61">
        <v>8.3000000000000007</v>
      </c>
      <c r="E15" s="61">
        <v>0.45</v>
      </c>
      <c r="F15" s="106">
        <v>10</v>
      </c>
      <c r="G15" s="130">
        <v>20.913240000000002</v>
      </c>
      <c r="H15" s="116">
        <v>13142</v>
      </c>
    </row>
    <row r="16" spans="1:8" x14ac:dyDescent="0.3">
      <c r="A16" s="140">
        <v>843</v>
      </c>
      <c r="B16" s="67">
        <v>1</v>
      </c>
      <c r="C16" s="57">
        <v>5.31</v>
      </c>
      <c r="D16" s="61">
        <v>8.3000000000000007</v>
      </c>
      <c r="E16" s="61">
        <v>0.41</v>
      </c>
      <c r="F16" s="106">
        <v>10</v>
      </c>
      <c r="G16" s="130">
        <v>20.856100000000001</v>
      </c>
      <c r="H16" s="116">
        <v>13139</v>
      </c>
    </row>
    <row r="17" spans="1:8" x14ac:dyDescent="0.3">
      <c r="A17" s="140">
        <v>844</v>
      </c>
      <c r="B17" s="67">
        <v>1</v>
      </c>
      <c r="C17" s="57">
        <v>3.48</v>
      </c>
      <c r="D17" s="61">
        <v>8.1999999999999993</v>
      </c>
      <c r="E17" s="61">
        <v>0.47</v>
      </c>
      <c r="F17" s="106">
        <v>10</v>
      </c>
      <c r="G17" s="130">
        <v>20.741820000000001</v>
      </c>
      <c r="H17" s="116">
        <v>13133</v>
      </c>
    </row>
    <row r="18" spans="1:8" x14ac:dyDescent="0.3">
      <c r="A18" s="140">
        <v>845</v>
      </c>
      <c r="B18" s="67">
        <v>1</v>
      </c>
      <c r="C18" s="57">
        <v>3.49</v>
      </c>
      <c r="D18" s="61">
        <v>8.3000000000000007</v>
      </c>
      <c r="E18" s="61">
        <v>0.48</v>
      </c>
      <c r="F18" s="106">
        <v>9.3000000000000007</v>
      </c>
      <c r="G18" s="130">
        <v>20.856100000000001</v>
      </c>
      <c r="H18" s="116">
        <v>13154</v>
      </c>
    </row>
    <row r="19" spans="1:8" x14ac:dyDescent="0.3">
      <c r="A19" s="140">
        <v>846</v>
      </c>
      <c r="B19" s="67">
        <v>1</v>
      </c>
      <c r="C19" s="57">
        <v>3.44</v>
      </c>
      <c r="D19" s="61">
        <v>8.3000000000000007</v>
      </c>
      <c r="E19" s="61">
        <v>0.48</v>
      </c>
      <c r="F19" s="106">
        <v>10</v>
      </c>
      <c r="G19" s="130">
        <v>20.913240000000002</v>
      </c>
      <c r="H19" s="116">
        <v>13139</v>
      </c>
    </row>
    <row r="20" spans="1:8" x14ac:dyDescent="0.3">
      <c r="A20" s="140">
        <v>847</v>
      </c>
      <c r="B20" s="67">
        <v>1</v>
      </c>
      <c r="C20" s="57">
        <v>3.42</v>
      </c>
      <c r="D20" s="61">
        <v>8.3000000000000007</v>
      </c>
      <c r="E20" s="61">
        <v>0.44</v>
      </c>
      <c r="F20" s="106">
        <v>10</v>
      </c>
      <c r="G20" s="130">
        <v>20.913240000000002</v>
      </c>
      <c r="H20" s="116">
        <v>13117</v>
      </c>
    </row>
    <row r="21" spans="1:8" x14ac:dyDescent="0.3">
      <c r="A21" s="140">
        <v>848</v>
      </c>
      <c r="B21" s="67">
        <v>1</v>
      </c>
      <c r="C21" s="57">
        <v>3.48</v>
      </c>
      <c r="D21" s="61">
        <v>8.3000000000000007</v>
      </c>
      <c r="E21" s="61">
        <v>0.47</v>
      </c>
      <c r="F21" s="106">
        <v>10</v>
      </c>
      <c r="G21" s="130">
        <v>20.856100000000001</v>
      </c>
      <c r="H21" s="116">
        <v>13143</v>
      </c>
    </row>
    <row r="22" spans="1:8" x14ac:dyDescent="0.3">
      <c r="A22" s="140">
        <v>849</v>
      </c>
      <c r="B22" s="67">
        <v>1</v>
      </c>
      <c r="C22" s="57">
        <v>3.49</v>
      </c>
      <c r="D22" s="61">
        <v>8.3000000000000007</v>
      </c>
      <c r="E22" s="61">
        <v>0.41</v>
      </c>
      <c r="F22" s="106">
        <v>10</v>
      </c>
      <c r="G22" s="130">
        <v>20.913240000000002</v>
      </c>
      <c r="H22" s="116">
        <v>13128</v>
      </c>
    </row>
    <row r="23" spans="1:8" x14ac:dyDescent="0.3">
      <c r="A23" s="140">
        <v>850</v>
      </c>
      <c r="B23" s="67">
        <v>1</v>
      </c>
      <c r="C23" s="57">
        <v>3.51</v>
      </c>
      <c r="D23" s="61">
        <v>8.3000000000000007</v>
      </c>
      <c r="E23" s="61">
        <v>0.38</v>
      </c>
      <c r="F23" s="106">
        <v>10</v>
      </c>
      <c r="G23" s="130">
        <v>20.970380000000002</v>
      </c>
      <c r="H23" s="116">
        <v>13099</v>
      </c>
    </row>
    <row r="24" spans="1:8" x14ac:dyDescent="0.3">
      <c r="A24" s="140">
        <v>851</v>
      </c>
      <c r="B24" s="67">
        <v>1</v>
      </c>
      <c r="C24" s="57">
        <v>3.42</v>
      </c>
      <c r="D24" s="61">
        <v>8.3000000000000007</v>
      </c>
      <c r="E24" s="61">
        <v>0.4</v>
      </c>
      <c r="F24" s="106">
        <v>10</v>
      </c>
      <c r="G24" s="130">
        <v>20.856100000000001</v>
      </c>
      <c r="H24" s="116">
        <v>13140</v>
      </c>
    </row>
    <row r="25" spans="1:8" x14ac:dyDescent="0.3">
      <c r="A25" s="140">
        <v>852</v>
      </c>
      <c r="B25" s="67">
        <v>1</v>
      </c>
      <c r="C25" s="57">
        <v>3.44</v>
      </c>
      <c r="D25" s="61">
        <v>8.3000000000000007</v>
      </c>
      <c r="E25" s="61">
        <v>0.39</v>
      </c>
      <c r="F25" s="106">
        <v>10.15</v>
      </c>
      <c r="G25" s="130">
        <v>20.913240000000002</v>
      </c>
      <c r="H25" s="116">
        <v>13117</v>
      </c>
    </row>
    <row r="26" spans="1:8" x14ac:dyDescent="0.3">
      <c r="A26" s="140">
        <v>853</v>
      </c>
      <c r="B26" s="67">
        <v>1</v>
      </c>
      <c r="C26" s="57">
        <v>3.48</v>
      </c>
      <c r="D26" s="61">
        <v>8.3000000000000007</v>
      </c>
      <c r="E26" s="61">
        <v>0.44</v>
      </c>
      <c r="F26" s="106">
        <v>10.5</v>
      </c>
      <c r="G26" s="130">
        <v>20.856100000000001</v>
      </c>
      <c r="H26" s="116">
        <v>13136</v>
      </c>
    </row>
    <row r="27" spans="1:8" x14ac:dyDescent="0.3">
      <c r="A27" s="140">
        <v>854</v>
      </c>
      <c r="B27" s="67">
        <v>1</v>
      </c>
      <c r="C27" s="57">
        <v>3.44</v>
      </c>
      <c r="D27" s="61">
        <v>8.3000000000000007</v>
      </c>
      <c r="E27" s="61">
        <v>0.4</v>
      </c>
      <c r="F27" s="106">
        <v>10</v>
      </c>
      <c r="G27" s="130">
        <v>20.913240000000002</v>
      </c>
      <c r="H27" s="116">
        <v>13142</v>
      </c>
    </row>
    <row r="28" spans="1:8" x14ac:dyDescent="0.3">
      <c r="A28" s="140">
        <v>855</v>
      </c>
      <c r="B28" s="67">
        <v>1</v>
      </c>
      <c r="C28" s="57">
        <v>3.48</v>
      </c>
      <c r="D28" s="61">
        <v>8.1999999999999993</v>
      </c>
      <c r="E28" s="61">
        <v>0.38</v>
      </c>
      <c r="F28" s="106">
        <v>10.15</v>
      </c>
      <c r="G28" s="130">
        <v>20.62754</v>
      </c>
      <c r="H28" s="116">
        <v>13163</v>
      </c>
    </row>
    <row r="29" spans="1:8" x14ac:dyDescent="0.3">
      <c r="A29" s="140">
        <v>856</v>
      </c>
      <c r="B29" s="67">
        <v>1</v>
      </c>
      <c r="C29" s="57">
        <v>3.52</v>
      </c>
      <c r="D29" s="61">
        <v>8.3000000000000007</v>
      </c>
      <c r="E29" s="61">
        <v>0.47</v>
      </c>
      <c r="F29" s="106">
        <v>10</v>
      </c>
      <c r="G29" s="130">
        <v>20.856100000000001</v>
      </c>
      <c r="H29" s="116">
        <v>13158</v>
      </c>
    </row>
    <row r="30" spans="1:8" x14ac:dyDescent="0.3">
      <c r="A30" s="140">
        <v>857</v>
      </c>
      <c r="B30" s="67">
        <v>1</v>
      </c>
      <c r="C30" s="57">
        <v>3.49</v>
      </c>
      <c r="D30" s="61">
        <v>8.3000000000000007</v>
      </c>
      <c r="E30" s="61">
        <v>0.43</v>
      </c>
      <c r="F30" s="106">
        <v>10.25</v>
      </c>
      <c r="G30" s="130">
        <v>20.970380000000002</v>
      </c>
      <c r="H30" s="116">
        <v>13141</v>
      </c>
    </row>
    <row r="31" spans="1:8" x14ac:dyDescent="0.3">
      <c r="A31" s="140">
        <v>858</v>
      </c>
      <c r="B31" s="67">
        <v>1</v>
      </c>
      <c r="C31" s="57">
        <v>3.45</v>
      </c>
      <c r="D31" s="61">
        <v>8.3000000000000007</v>
      </c>
      <c r="E31" s="61">
        <v>0.45</v>
      </c>
      <c r="F31" s="106">
        <v>10</v>
      </c>
      <c r="G31" s="130">
        <v>20.856100000000001</v>
      </c>
      <c r="H31" s="116">
        <v>13163</v>
      </c>
    </row>
    <row r="32" spans="1:8" x14ac:dyDescent="0.3">
      <c r="A32" s="140">
        <v>859</v>
      </c>
      <c r="B32" s="67">
        <v>1</v>
      </c>
      <c r="C32" s="57">
        <v>3.42</v>
      </c>
      <c r="D32" s="61">
        <v>8.3000000000000007</v>
      </c>
      <c r="E32" s="61">
        <v>0.41</v>
      </c>
      <c r="F32" s="106">
        <v>10</v>
      </c>
      <c r="G32" s="130">
        <v>20.913240000000002</v>
      </c>
      <c r="H32" s="116">
        <v>13139</v>
      </c>
    </row>
    <row r="33" spans="1:8" x14ac:dyDescent="0.3">
      <c r="A33" s="140">
        <v>860</v>
      </c>
      <c r="B33" s="67">
        <v>1</v>
      </c>
      <c r="C33" s="57">
        <v>3.47</v>
      </c>
      <c r="D33" s="61">
        <v>8.3000000000000007</v>
      </c>
      <c r="E33" s="61">
        <v>0.47</v>
      </c>
      <c r="F33" s="106">
        <v>10.15</v>
      </c>
      <c r="G33" s="130">
        <v>20.913240000000002</v>
      </c>
      <c r="H33" s="116">
        <v>13157</v>
      </c>
    </row>
    <row r="34" spans="1:8" x14ac:dyDescent="0.3">
      <c r="A34" s="140">
        <v>861</v>
      </c>
      <c r="B34" s="67">
        <v>1</v>
      </c>
      <c r="C34" s="57">
        <v>3.52</v>
      </c>
      <c r="D34" s="61">
        <v>8.3000000000000007</v>
      </c>
      <c r="E34" s="61">
        <v>0.48</v>
      </c>
      <c r="F34" s="106">
        <v>11.1</v>
      </c>
      <c r="G34" s="130">
        <v>20.856100000000001</v>
      </c>
      <c r="H34" s="116">
        <v>13142</v>
      </c>
    </row>
    <row r="35" spans="1:8" x14ac:dyDescent="0.3">
      <c r="A35" s="140">
        <v>862</v>
      </c>
      <c r="B35" s="67">
        <v>1</v>
      </c>
      <c r="C35" s="57">
        <v>3.44</v>
      </c>
      <c r="D35" s="61">
        <v>8.3000000000000007</v>
      </c>
      <c r="E35" s="61">
        <v>0.48</v>
      </c>
      <c r="F35" s="106">
        <v>10.050000000000001</v>
      </c>
      <c r="G35" s="130">
        <v>20.913240000000002</v>
      </c>
      <c r="H35" s="116">
        <v>13140</v>
      </c>
    </row>
    <row r="36" spans="1:8" x14ac:dyDescent="0.3">
      <c r="A36" s="140">
        <v>863</v>
      </c>
      <c r="B36" s="67">
        <v>1</v>
      </c>
      <c r="C36" s="57">
        <v>3.48</v>
      </c>
      <c r="D36" s="61">
        <v>8.1999999999999993</v>
      </c>
      <c r="E36" s="61">
        <v>0.44</v>
      </c>
      <c r="F36" s="106">
        <v>10</v>
      </c>
      <c r="G36" s="130">
        <v>20.684680000000004</v>
      </c>
      <c r="H36" s="116">
        <v>13129</v>
      </c>
    </row>
    <row r="37" spans="1:8" x14ac:dyDescent="0.3">
      <c r="A37" s="140">
        <v>864</v>
      </c>
      <c r="B37" s="67">
        <v>1</v>
      </c>
      <c r="C37" s="57">
        <v>3.52</v>
      </c>
      <c r="D37" s="61">
        <v>8.3000000000000007</v>
      </c>
      <c r="E37" s="61">
        <v>0.41</v>
      </c>
      <c r="F37" s="106">
        <v>10</v>
      </c>
      <c r="G37" s="130">
        <v>20.856100000000001</v>
      </c>
      <c r="H37" s="116">
        <v>13161</v>
      </c>
    </row>
    <row r="38" spans="1:8" x14ac:dyDescent="0.3">
      <c r="A38" s="140">
        <v>865</v>
      </c>
      <c r="B38" s="67">
        <v>1</v>
      </c>
      <c r="C38" s="57">
        <v>3.49</v>
      </c>
      <c r="D38" s="57">
        <v>8.3000000000000007</v>
      </c>
      <c r="E38" s="61">
        <v>0.38</v>
      </c>
      <c r="F38" s="106">
        <v>10</v>
      </c>
      <c r="G38" s="130">
        <v>20.913240000000002</v>
      </c>
      <c r="H38" s="116">
        <v>13142</v>
      </c>
    </row>
    <row r="39" spans="1:8" x14ac:dyDescent="0.3">
      <c r="A39" s="140">
        <v>866</v>
      </c>
      <c r="B39" s="67">
        <v>1</v>
      </c>
      <c r="C39" s="57">
        <v>3.51</v>
      </c>
      <c r="D39" s="61">
        <v>8.1999999999999993</v>
      </c>
      <c r="E39" s="61">
        <v>0.46</v>
      </c>
      <c r="F39" s="106">
        <v>10</v>
      </c>
      <c r="G39" s="130">
        <v>20.62754</v>
      </c>
      <c r="H39" s="116">
        <v>13167</v>
      </c>
    </row>
    <row r="40" spans="1:8" x14ac:dyDescent="0.3">
      <c r="A40" s="140">
        <v>867</v>
      </c>
      <c r="B40" s="67">
        <v>1</v>
      </c>
      <c r="C40" s="57">
        <v>3.46</v>
      </c>
      <c r="D40" s="61">
        <v>8.3000000000000007</v>
      </c>
      <c r="E40" s="61">
        <v>0.4</v>
      </c>
      <c r="F40" s="106">
        <v>10</v>
      </c>
      <c r="G40" s="130">
        <v>20.970380000000002</v>
      </c>
      <c r="H40" s="116">
        <v>13145</v>
      </c>
    </row>
    <row r="41" spans="1:8" x14ac:dyDescent="0.3">
      <c r="A41" s="140">
        <v>868</v>
      </c>
      <c r="B41" s="67">
        <v>1</v>
      </c>
      <c r="C41" s="57">
        <v>3.52</v>
      </c>
      <c r="D41" s="61">
        <v>8.3000000000000007</v>
      </c>
      <c r="E41" s="61">
        <v>0.48</v>
      </c>
      <c r="F41" s="106">
        <v>10</v>
      </c>
      <c r="G41" s="130">
        <v>20.913240000000002</v>
      </c>
      <c r="H41" s="116">
        <v>13151</v>
      </c>
    </row>
    <row r="42" spans="1:8" x14ac:dyDescent="0.3">
      <c r="A42" s="140">
        <v>869</v>
      </c>
      <c r="B42" s="67">
        <v>1</v>
      </c>
      <c r="C42" s="57">
        <v>3.49</v>
      </c>
      <c r="D42" s="61">
        <v>8.3000000000000007</v>
      </c>
      <c r="E42" s="61">
        <v>0.44</v>
      </c>
      <c r="F42" s="106">
        <v>10</v>
      </c>
      <c r="G42" s="130">
        <v>20.970380000000002</v>
      </c>
      <c r="H42" s="116">
        <v>13123</v>
      </c>
    </row>
    <row r="43" spans="1:8" x14ac:dyDescent="0.3">
      <c r="A43" s="140">
        <v>870</v>
      </c>
      <c r="B43" s="67">
        <v>1</v>
      </c>
      <c r="C43" s="57">
        <v>3.51</v>
      </c>
      <c r="D43" s="61">
        <v>8.3000000000000007</v>
      </c>
      <c r="E43" s="61">
        <v>0.4</v>
      </c>
      <c r="F43" s="106">
        <v>10</v>
      </c>
      <c r="G43" s="130">
        <v>20.913240000000002</v>
      </c>
      <c r="H43" s="116">
        <v>13134</v>
      </c>
    </row>
    <row r="44" spans="1:8" hidden="1" x14ac:dyDescent="0.3">
      <c r="A44" s="140">
        <v>871</v>
      </c>
      <c r="B44" s="67">
        <v>1</v>
      </c>
      <c r="C44" s="57">
        <v>3.46</v>
      </c>
      <c r="D44" s="61">
        <v>8.3000000000000007</v>
      </c>
      <c r="E44" s="61">
        <v>0.38</v>
      </c>
      <c r="F44" s="106">
        <v>10</v>
      </c>
      <c r="G44" s="130">
        <v>20.913240000000002</v>
      </c>
      <c r="H44" s="116">
        <v>13127</v>
      </c>
    </row>
    <row r="45" spans="1:8" hidden="1" x14ac:dyDescent="0.3">
      <c r="A45" s="140">
        <v>872</v>
      </c>
      <c r="B45" s="67">
        <v>1</v>
      </c>
      <c r="C45" s="57">
        <v>3.48</v>
      </c>
      <c r="D45" s="61">
        <v>8.1999999999999993</v>
      </c>
      <c r="E45" s="61">
        <v>0.47</v>
      </c>
      <c r="F45" s="106">
        <v>10</v>
      </c>
      <c r="G45" s="130">
        <v>20.684680000000004</v>
      </c>
      <c r="H45" s="116">
        <v>13133</v>
      </c>
    </row>
    <row r="46" spans="1:8" hidden="1" x14ac:dyDescent="0.3">
      <c r="A46" s="140">
        <v>873</v>
      </c>
      <c r="B46" s="67">
        <v>1</v>
      </c>
      <c r="C46" s="57">
        <v>3.46</v>
      </c>
      <c r="D46" s="61">
        <v>8.3000000000000007</v>
      </c>
      <c r="E46" s="61">
        <v>0.43</v>
      </c>
      <c r="F46" s="106">
        <v>10.15</v>
      </c>
      <c r="G46" s="130">
        <v>20.913240000000002</v>
      </c>
      <c r="H46" s="116">
        <v>13137</v>
      </c>
    </row>
    <row r="47" spans="1:8" hidden="1" x14ac:dyDescent="0.3">
      <c r="A47" s="140">
        <v>874</v>
      </c>
      <c r="B47" s="67">
        <v>1</v>
      </c>
      <c r="C47" s="57">
        <v>3.47</v>
      </c>
      <c r="D47" s="61">
        <v>8.3000000000000007</v>
      </c>
      <c r="E47" s="61">
        <v>0.45</v>
      </c>
      <c r="F47" s="106">
        <v>10</v>
      </c>
      <c r="G47" s="130">
        <v>20.856100000000001</v>
      </c>
      <c r="H47" s="116">
        <v>13139</v>
      </c>
    </row>
    <row r="48" spans="1:8" hidden="1" x14ac:dyDescent="0.3">
      <c r="A48" s="140">
        <v>875</v>
      </c>
      <c r="B48" s="67">
        <v>1</v>
      </c>
      <c r="C48" s="57">
        <v>3.51</v>
      </c>
      <c r="D48" s="61">
        <v>8.3000000000000007</v>
      </c>
      <c r="E48" s="61">
        <v>0.41</v>
      </c>
      <c r="F48" s="106">
        <v>10.3</v>
      </c>
      <c r="G48" s="130">
        <v>20.913240000000002</v>
      </c>
      <c r="H48" s="116">
        <v>13167</v>
      </c>
    </row>
    <row r="49" spans="1:8" hidden="1" x14ac:dyDescent="0.3">
      <c r="A49" s="140">
        <v>876</v>
      </c>
      <c r="B49" s="67">
        <v>1</v>
      </c>
      <c r="C49" s="57">
        <v>3.49</v>
      </c>
      <c r="D49" s="61">
        <v>8.1999999999999993</v>
      </c>
      <c r="E49" s="61">
        <v>0.47</v>
      </c>
      <c r="F49" s="106">
        <v>10.15</v>
      </c>
      <c r="G49" s="130">
        <v>20.62754</v>
      </c>
      <c r="H49" s="116">
        <v>13145</v>
      </c>
    </row>
    <row r="50" spans="1:8" hidden="1" x14ac:dyDescent="0.3">
      <c r="A50" s="140">
        <v>877</v>
      </c>
      <c r="B50" s="67">
        <v>1</v>
      </c>
      <c r="C50" s="57">
        <v>3.54</v>
      </c>
      <c r="D50" s="61">
        <v>8.3000000000000007</v>
      </c>
      <c r="E50" s="61">
        <v>0.48</v>
      </c>
      <c r="F50" s="106">
        <v>10.15</v>
      </c>
      <c r="G50" s="130">
        <v>20.970380000000002</v>
      </c>
      <c r="H50" s="116">
        <v>13151</v>
      </c>
    </row>
    <row r="51" spans="1:8" hidden="1" x14ac:dyDescent="0.3">
      <c r="A51" s="140">
        <v>878</v>
      </c>
      <c r="B51" s="67">
        <v>1</v>
      </c>
      <c r="C51" s="57">
        <v>3.51</v>
      </c>
      <c r="D51" s="61">
        <v>8.3000000000000007</v>
      </c>
      <c r="E51" s="61">
        <v>0.48</v>
      </c>
      <c r="F51" s="106">
        <v>10.15</v>
      </c>
      <c r="G51" s="130">
        <v>20.913240000000002</v>
      </c>
      <c r="H51" s="116">
        <v>13118</v>
      </c>
    </row>
    <row r="52" spans="1:8" hidden="1" x14ac:dyDescent="0.3">
      <c r="A52" s="140">
        <v>879</v>
      </c>
      <c r="B52" s="67">
        <v>1</v>
      </c>
      <c r="C52" s="57">
        <v>3.51</v>
      </c>
      <c r="D52" s="61">
        <v>8.3000000000000007</v>
      </c>
      <c r="E52" s="61">
        <v>0.44</v>
      </c>
      <c r="F52" s="106">
        <v>10</v>
      </c>
      <c r="G52" s="130">
        <v>20.970380000000002</v>
      </c>
      <c r="H52" s="116">
        <v>13127</v>
      </c>
    </row>
    <row r="53" spans="1:8" hidden="1" x14ac:dyDescent="0.3">
      <c r="A53" s="140">
        <v>447</v>
      </c>
      <c r="B53" s="67">
        <v>1</v>
      </c>
      <c r="C53" s="57">
        <v>3.52</v>
      </c>
      <c r="D53" s="61">
        <v>8.4</v>
      </c>
      <c r="E53" s="61">
        <v>0.38</v>
      </c>
      <c r="F53" s="75">
        <v>9.4499999999999993</v>
      </c>
      <c r="G53" s="130">
        <v>21.19894</v>
      </c>
      <c r="H53" s="116">
        <v>13135</v>
      </c>
    </row>
    <row r="54" spans="1:8" hidden="1" x14ac:dyDescent="0.3">
      <c r="A54" s="140">
        <v>448</v>
      </c>
      <c r="B54" s="67">
        <v>1</v>
      </c>
      <c r="C54" s="57">
        <v>3.54</v>
      </c>
      <c r="D54" s="61">
        <v>8.4</v>
      </c>
      <c r="E54" s="61">
        <v>0.44</v>
      </c>
      <c r="F54" s="75">
        <v>9.4499999999999993</v>
      </c>
      <c r="G54" s="130">
        <v>21.19894</v>
      </c>
      <c r="H54" s="116">
        <v>13091</v>
      </c>
    </row>
    <row r="55" spans="1:8" hidden="1" x14ac:dyDescent="0.3">
      <c r="A55" s="140">
        <v>449</v>
      </c>
      <c r="B55" s="67">
        <v>1</v>
      </c>
      <c r="C55" s="57">
        <v>3.46</v>
      </c>
      <c r="D55" s="61">
        <v>8.4</v>
      </c>
      <c r="E55" s="61">
        <v>0.52</v>
      </c>
      <c r="F55" s="75">
        <v>10.45</v>
      </c>
      <c r="G55" s="130">
        <v>21.19894</v>
      </c>
      <c r="H55" s="116">
        <v>13139</v>
      </c>
    </row>
    <row r="56" spans="1:8" hidden="1" x14ac:dyDescent="0.3">
      <c r="A56" s="140">
        <v>450</v>
      </c>
      <c r="B56" s="67">
        <v>1</v>
      </c>
      <c r="C56" s="57">
        <v>3.47</v>
      </c>
      <c r="D56" s="61">
        <v>8.4</v>
      </c>
      <c r="E56" s="61">
        <v>0.53</v>
      </c>
      <c r="F56" s="106">
        <v>12</v>
      </c>
      <c r="G56" s="130">
        <v>21.1418</v>
      </c>
      <c r="H56" s="116">
        <v>13133</v>
      </c>
    </row>
    <row r="57" spans="1:8" hidden="1" x14ac:dyDescent="0.3">
      <c r="A57" s="140">
        <v>451</v>
      </c>
      <c r="B57" s="67">
        <v>1</v>
      </c>
      <c r="C57" s="57">
        <v>3.52</v>
      </c>
      <c r="D57" s="61">
        <v>8.3000000000000007</v>
      </c>
      <c r="E57" s="61">
        <v>0.55000000000000004</v>
      </c>
      <c r="F57" s="106">
        <v>10</v>
      </c>
      <c r="G57" s="130">
        <v>20.913240000000002</v>
      </c>
      <c r="H57" s="116">
        <v>13142</v>
      </c>
    </row>
    <row r="58" spans="1:8" hidden="1" x14ac:dyDescent="0.3">
      <c r="A58" s="140">
        <v>452</v>
      </c>
      <c r="B58" s="67">
        <v>1</v>
      </c>
      <c r="C58" s="57">
        <v>3.42</v>
      </c>
      <c r="D58" s="61">
        <v>8.4</v>
      </c>
      <c r="E58" s="61">
        <v>0.5</v>
      </c>
      <c r="F58" s="75">
        <v>9.4499999999999993</v>
      </c>
      <c r="G58" s="130">
        <v>21.19894</v>
      </c>
      <c r="H58" s="116">
        <v>13126</v>
      </c>
    </row>
    <row r="59" spans="1:8" hidden="1" x14ac:dyDescent="0.3">
      <c r="A59" s="140">
        <v>453</v>
      </c>
      <c r="B59" s="67">
        <v>1</v>
      </c>
      <c r="C59" s="57">
        <v>3.48</v>
      </c>
      <c r="D59" s="61">
        <v>8.3000000000000007</v>
      </c>
      <c r="E59" s="61">
        <v>0.48</v>
      </c>
      <c r="F59" s="75">
        <v>9.4499999999999993</v>
      </c>
      <c r="G59" s="130">
        <v>20.970380000000002</v>
      </c>
      <c r="H59" s="116">
        <v>13118</v>
      </c>
    </row>
    <row r="60" spans="1:8" hidden="1" x14ac:dyDescent="0.3">
      <c r="A60" s="140">
        <v>454</v>
      </c>
      <c r="B60" s="67">
        <v>1</v>
      </c>
      <c r="C60" s="57">
        <v>3.49</v>
      </c>
      <c r="D60" s="61">
        <v>8.3000000000000007</v>
      </c>
      <c r="E60" s="61">
        <v>0.5</v>
      </c>
      <c r="F60" s="106">
        <v>10</v>
      </c>
      <c r="G60" s="130">
        <v>20.913240000000002</v>
      </c>
      <c r="H60" s="116">
        <v>13139</v>
      </c>
    </row>
    <row r="61" spans="1:8" hidden="1" x14ac:dyDescent="0.3">
      <c r="A61" s="140">
        <v>455</v>
      </c>
      <c r="B61" s="67">
        <v>1</v>
      </c>
      <c r="C61" s="57">
        <v>3.47</v>
      </c>
      <c r="D61" s="61">
        <v>8.4</v>
      </c>
      <c r="E61" s="61">
        <v>0.5</v>
      </c>
      <c r="F61" s="75">
        <v>9.4499999999999993</v>
      </c>
      <c r="G61" s="130">
        <v>21.19894</v>
      </c>
      <c r="H61" s="116">
        <v>13134</v>
      </c>
    </row>
    <row r="62" spans="1:8" hidden="1" x14ac:dyDescent="0.3">
      <c r="A62" s="140">
        <v>456</v>
      </c>
      <c r="B62" s="67">
        <v>1</v>
      </c>
      <c r="C62" s="57">
        <v>3.52</v>
      </c>
      <c r="D62" s="61">
        <v>8.3000000000000007</v>
      </c>
      <c r="E62" s="61">
        <v>0.51</v>
      </c>
      <c r="F62" s="106">
        <v>10</v>
      </c>
      <c r="G62" s="130">
        <v>20.913240000000002</v>
      </c>
      <c r="H62" s="116">
        <v>13140</v>
      </c>
    </row>
    <row r="63" spans="1:8" hidden="1" x14ac:dyDescent="0.3">
      <c r="A63" s="140">
        <v>457</v>
      </c>
      <c r="B63" s="67">
        <v>1</v>
      </c>
      <c r="C63" s="57">
        <v>3.42</v>
      </c>
      <c r="D63" s="61">
        <v>8.3000000000000007</v>
      </c>
      <c r="E63" s="61">
        <v>0.46</v>
      </c>
      <c r="F63" s="106">
        <v>9.3000000000000007</v>
      </c>
      <c r="G63" s="130">
        <v>20.913240000000002</v>
      </c>
      <c r="H63" s="116">
        <v>13136</v>
      </c>
    </row>
    <row r="64" spans="1:8" hidden="1" x14ac:dyDescent="0.3">
      <c r="A64" s="140">
        <v>458</v>
      </c>
      <c r="B64" s="67">
        <v>1</v>
      </c>
      <c r="C64" s="57">
        <v>3.52</v>
      </c>
      <c r="D64" s="61">
        <v>8.4</v>
      </c>
      <c r="E64" s="61">
        <v>0.5</v>
      </c>
      <c r="F64" s="106">
        <v>10</v>
      </c>
      <c r="G64" s="130">
        <v>21.1418</v>
      </c>
      <c r="H64" s="116">
        <v>13139</v>
      </c>
    </row>
    <row r="65" spans="1:8" hidden="1" x14ac:dyDescent="0.3">
      <c r="A65" s="140">
        <v>459</v>
      </c>
      <c r="B65" s="67">
        <v>1</v>
      </c>
      <c r="C65" s="57">
        <v>3.53</v>
      </c>
      <c r="D65" s="61">
        <v>8.3000000000000007</v>
      </c>
      <c r="E65" s="61">
        <v>0.5</v>
      </c>
      <c r="F65" s="106">
        <v>10</v>
      </c>
      <c r="G65" s="130">
        <v>20.970380000000002</v>
      </c>
      <c r="H65" s="116">
        <v>13133</v>
      </c>
    </row>
    <row r="66" spans="1:8" hidden="1" x14ac:dyDescent="0.3">
      <c r="A66" s="140">
        <v>460</v>
      </c>
      <c r="B66" s="67">
        <v>1</v>
      </c>
      <c r="C66" s="57">
        <v>3.42</v>
      </c>
      <c r="D66" s="61">
        <v>8.3000000000000007</v>
      </c>
      <c r="E66" s="61">
        <v>0.45</v>
      </c>
      <c r="F66" s="106">
        <v>10</v>
      </c>
      <c r="G66" s="130">
        <v>20.913240000000002</v>
      </c>
      <c r="H66" s="116">
        <v>13137</v>
      </c>
    </row>
    <row r="67" spans="1:8" hidden="1" x14ac:dyDescent="0.3">
      <c r="A67" s="140">
        <v>461</v>
      </c>
      <c r="B67" s="67">
        <v>1</v>
      </c>
      <c r="C67" s="57">
        <v>3.45</v>
      </c>
      <c r="D67" s="61">
        <v>8.4</v>
      </c>
      <c r="E67" s="61">
        <v>0.48</v>
      </c>
      <c r="F67" s="106">
        <v>10</v>
      </c>
      <c r="G67" s="130">
        <v>21.19894</v>
      </c>
      <c r="H67" s="116">
        <v>13124</v>
      </c>
    </row>
    <row r="68" spans="1:8" hidden="1" x14ac:dyDescent="0.3">
      <c r="A68" s="140">
        <v>462</v>
      </c>
      <c r="B68" s="67">
        <v>1</v>
      </c>
      <c r="C68" s="57">
        <v>3.48</v>
      </c>
      <c r="D68" s="61">
        <v>8.3000000000000007</v>
      </c>
      <c r="E68" s="61">
        <v>0.48</v>
      </c>
      <c r="F68" s="106">
        <v>10</v>
      </c>
      <c r="G68" s="130">
        <v>20.913240000000002</v>
      </c>
      <c r="H68" s="116">
        <v>13118</v>
      </c>
    </row>
    <row r="69" spans="1:8" hidden="1" x14ac:dyDescent="0.3">
      <c r="A69" s="140">
        <v>463</v>
      </c>
      <c r="B69" s="67">
        <v>1</v>
      </c>
      <c r="C69" s="57">
        <v>3.5</v>
      </c>
      <c r="D69" s="61">
        <v>8.3000000000000007</v>
      </c>
      <c r="E69" s="61">
        <v>0.4</v>
      </c>
      <c r="F69" s="75">
        <v>9.4499999999999993</v>
      </c>
      <c r="G69" s="130">
        <v>20.856100000000001</v>
      </c>
      <c r="H69" s="116">
        <v>13145</v>
      </c>
    </row>
    <row r="70" spans="1:8" hidden="1" x14ac:dyDescent="0.3">
      <c r="A70" s="140">
        <v>464</v>
      </c>
      <c r="B70" s="67">
        <v>1</v>
      </c>
      <c r="C70" s="57">
        <v>3.48</v>
      </c>
      <c r="D70" s="61">
        <v>8.4</v>
      </c>
      <c r="E70" s="61">
        <v>0.45</v>
      </c>
      <c r="F70" s="106">
        <v>9.3000000000000007</v>
      </c>
      <c r="G70" s="130">
        <v>21.19894</v>
      </c>
      <c r="H70" s="116">
        <v>13134</v>
      </c>
    </row>
    <row r="71" spans="1:8" hidden="1" x14ac:dyDescent="0.3">
      <c r="A71" s="140">
        <v>465</v>
      </c>
      <c r="B71" s="67">
        <v>1</v>
      </c>
      <c r="C71" s="57">
        <v>3.51</v>
      </c>
      <c r="D71" s="61">
        <v>8.3000000000000007</v>
      </c>
      <c r="E71" s="61">
        <v>0.5</v>
      </c>
      <c r="F71" s="106">
        <v>9.3000000000000007</v>
      </c>
      <c r="G71" s="130">
        <v>20.970380000000002</v>
      </c>
      <c r="H71" s="116">
        <v>13137</v>
      </c>
    </row>
    <row r="72" spans="1:8" hidden="1" x14ac:dyDescent="0.3">
      <c r="A72" s="140">
        <v>466</v>
      </c>
      <c r="B72" s="67">
        <v>1</v>
      </c>
      <c r="C72" s="57">
        <v>3.48</v>
      </c>
      <c r="D72" s="61">
        <v>8.3000000000000007</v>
      </c>
      <c r="E72" s="61">
        <v>0.5</v>
      </c>
      <c r="F72" s="106">
        <v>9.4499999999999993</v>
      </c>
      <c r="G72" s="130">
        <v>20.913240000000002</v>
      </c>
      <c r="H72" s="116">
        <v>13140</v>
      </c>
    </row>
    <row r="73" spans="1:8" hidden="1" x14ac:dyDescent="0.3">
      <c r="A73" s="140">
        <v>467</v>
      </c>
      <c r="B73" s="67">
        <v>1</v>
      </c>
      <c r="C73" s="57">
        <v>3.44</v>
      </c>
      <c r="D73" s="61">
        <v>8.3000000000000007</v>
      </c>
      <c r="E73" s="61">
        <v>0.47</v>
      </c>
      <c r="F73" s="106">
        <v>10</v>
      </c>
      <c r="G73" s="130">
        <v>20.913240000000002</v>
      </c>
      <c r="H73" s="116">
        <v>13136</v>
      </c>
    </row>
    <row r="74" spans="1:8" hidden="1" x14ac:dyDescent="0.3">
      <c r="A74" s="140">
        <v>468</v>
      </c>
      <c r="B74" s="67">
        <v>1</v>
      </c>
      <c r="C74" s="57">
        <v>3.46</v>
      </c>
      <c r="D74" s="61">
        <v>8.3000000000000007</v>
      </c>
      <c r="E74" s="61">
        <v>0.5</v>
      </c>
      <c r="F74" s="106">
        <v>10</v>
      </c>
      <c r="G74" s="130">
        <v>20.970380000000002</v>
      </c>
      <c r="H74" s="116">
        <v>13140</v>
      </c>
    </row>
    <row r="75" spans="1:8" hidden="1" x14ac:dyDescent="0.3">
      <c r="A75" s="140">
        <v>469</v>
      </c>
      <c r="B75" s="67">
        <v>1</v>
      </c>
      <c r="C75" s="57">
        <v>3.52</v>
      </c>
      <c r="D75" s="61">
        <v>8.4</v>
      </c>
      <c r="E75" s="61">
        <v>0.38</v>
      </c>
      <c r="F75" s="106">
        <v>10.15</v>
      </c>
      <c r="G75" s="130">
        <v>21.1418</v>
      </c>
      <c r="H75" s="116">
        <v>13129</v>
      </c>
    </row>
    <row r="76" spans="1:8" hidden="1" x14ac:dyDescent="0.3">
      <c r="A76" s="140">
        <v>470</v>
      </c>
      <c r="B76" s="67">
        <v>1</v>
      </c>
      <c r="C76" s="57">
        <v>3.54</v>
      </c>
      <c r="D76" s="61">
        <v>8.3000000000000007</v>
      </c>
      <c r="E76" s="61">
        <v>0.38</v>
      </c>
      <c r="F76" s="106">
        <v>10.15</v>
      </c>
      <c r="G76" s="130">
        <v>20.970380000000002</v>
      </c>
      <c r="H76" s="116">
        <v>13080</v>
      </c>
    </row>
    <row r="77" spans="1:8" hidden="1" x14ac:dyDescent="0.3">
      <c r="A77" s="140">
        <v>476</v>
      </c>
      <c r="B77" s="67">
        <v>1</v>
      </c>
      <c r="C77" s="57">
        <v>3.54</v>
      </c>
      <c r="D77" s="61">
        <v>8.3000000000000007</v>
      </c>
      <c r="E77" s="61">
        <v>0.39</v>
      </c>
      <c r="F77" s="106">
        <v>10</v>
      </c>
      <c r="G77" s="130">
        <v>20.970380000000002</v>
      </c>
      <c r="H77" s="116">
        <v>13124</v>
      </c>
    </row>
    <row r="78" spans="1:8" ht="14.5" hidden="1" thickBot="1" x14ac:dyDescent="0.35">
      <c r="A78" s="140">
        <v>477</v>
      </c>
      <c r="B78" s="68">
        <v>1</v>
      </c>
      <c r="C78" s="69">
        <v>3.46</v>
      </c>
      <c r="D78" s="65">
        <v>8.4</v>
      </c>
      <c r="E78" s="65">
        <v>0.4</v>
      </c>
      <c r="F78" s="80">
        <v>9.4499999999999993</v>
      </c>
      <c r="G78" s="131">
        <v>20.856100000000001</v>
      </c>
      <c r="H78" s="126">
        <v>13139</v>
      </c>
    </row>
    <row r="79" spans="1:8" x14ac:dyDescent="0.25">
      <c r="B79" s="18"/>
      <c r="C79" s="20"/>
      <c r="D79" s="15"/>
      <c r="E79" s="15"/>
    </row>
    <row r="80" spans="1:8" ht="12.5" x14ac:dyDescent="0.25">
      <c r="B80" s="56" t="s">
        <v>145</v>
      </c>
      <c r="C80" s="56" t="s">
        <v>146</v>
      </c>
      <c r="D80" s="56"/>
      <c r="E80" s="56"/>
    </row>
    <row r="81" spans="2:5" ht="12.5" x14ac:dyDescent="0.25">
      <c r="B81" s="142" t="s">
        <v>147</v>
      </c>
      <c r="C81" s="142" t="s">
        <v>148</v>
      </c>
      <c r="D81" s="142"/>
      <c r="E81" s="142"/>
    </row>
    <row r="82" spans="2:5" ht="12.5" x14ac:dyDescent="0.25">
      <c r="B82" s="143" t="s">
        <v>149</v>
      </c>
      <c r="C82" s="143" t="s">
        <v>150</v>
      </c>
      <c r="D82" s="143"/>
      <c r="E82" s="143"/>
    </row>
    <row r="83" spans="2:5" x14ac:dyDescent="0.3">
      <c r="B83" s="18"/>
      <c r="C83" s="17"/>
      <c r="D83" s="15"/>
      <c r="E83" s="15"/>
    </row>
    <row r="84" spans="2:5" x14ac:dyDescent="0.3">
      <c r="B84" s="18"/>
      <c r="C84" s="17"/>
      <c r="D84" s="15"/>
      <c r="E84" s="15"/>
    </row>
    <row r="85" spans="2:5" x14ac:dyDescent="0.3">
      <c r="B85" s="18"/>
      <c r="C85" s="17"/>
      <c r="D85" s="15"/>
      <c r="E85" s="15"/>
    </row>
    <row r="86" spans="2:5" x14ac:dyDescent="0.3">
      <c r="B86" s="18"/>
      <c r="C86" s="17"/>
      <c r="D86" s="15"/>
      <c r="E86" s="15"/>
    </row>
    <row r="87" spans="2:5" x14ac:dyDescent="0.3">
      <c r="B87" s="18"/>
      <c r="C87" s="17"/>
      <c r="D87" s="15"/>
      <c r="E87" s="15"/>
    </row>
    <row r="88" spans="2:5" x14ac:dyDescent="0.3">
      <c r="B88" s="18"/>
      <c r="C88" s="17"/>
      <c r="D88" s="15"/>
      <c r="E88" s="15"/>
    </row>
    <row r="89" spans="2:5" x14ac:dyDescent="0.3">
      <c r="B89" s="18"/>
      <c r="C89" s="17"/>
      <c r="D89" s="15"/>
      <c r="E89" s="15"/>
    </row>
    <row r="90" spans="2:5" x14ac:dyDescent="0.3">
      <c r="B90" s="18"/>
      <c r="C90" s="17"/>
      <c r="D90" s="15"/>
      <c r="E90" s="15"/>
    </row>
    <row r="91" spans="2:5" x14ac:dyDescent="0.3">
      <c r="B91" s="18"/>
      <c r="C91" s="17"/>
      <c r="D91" s="15"/>
      <c r="E91" s="15"/>
    </row>
    <row r="92" spans="2:5" x14ac:dyDescent="0.3">
      <c r="B92" s="18"/>
      <c r="C92" s="17"/>
      <c r="D92" s="15"/>
      <c r="E92" s="15"/>
    </row>
    <row r="93" spans="2:5" x14ac:dyDescent="0.3">
      <c r="B93" s="18"/>
      <c r="C93" s="17"/>
      <c r="D93" s="15"/>
      <c r="E93" s="15"/>
    </row>
    <row r="94" spans="2:5" x14ac:dyDescent="0.3">
      <c r="B94" s="18"/>
      <c r="C94" s="17"/>
      <c r="D94" s="15"/>
      <c r="E94" s="15"/>
    </row>
    <row r="95" spans="2:5" x14ac:dyDescent="0.3">
      <c r="B95" s="18"/>
      <c r="C95" s="17"/>
      <c r="D95" s="15"/>
      <c r="E95" s="15"/>
    </row>
    <row r="96" spans="2:5" x14ac:dyDescent="0.3">
      <c r="B96" s="18"/>
      <c r="C96" s="17"/>
      <c r="D96" s="15"/>
      <c r="E96" s="15"/>
    </row>
    <row r="97" spans="2:5" x14ac:dyDescent="0.3">
      <c r="B97" s="18"/>
      <c r="C97" s="17"/>
      <c r="D97" s="15"/>
      <c r="E97" s="15"/>
    </row>
    <row r="98" spans="2:5" x14ac:dyDescent="0.3">
      <c r="B98" s="15"/>
      <c r="C98" s="17"/>
      <c r="D98" s="15"/>
      <c r="E98" s="15"/>
    </row>
    <row r="99" spans="2:5" x14ac:dyDescent="0.3">
      <c r="B99" s="15"/>
      <c r="C99" s="17"/>
      <c r="D99" s="15"/>
      <c r="E99" s="15"/>
    </row>
    <row r="100" spans="2:5" x14ac:dyDescent="0.3">
      <c r="B100" s="15"/>
      <c r="C100" s="17"/>
      <c r="D100" s="15"/>
      <c r="E100" s="15"/>
    </row>
    <row r="101" spans="2:5" x14ac:dyDescent="0.3">
      <c r="B101" s="15"/>
      <c r="C101" s="17"/>
      <c r="D101" s="15"/>
      <c r="E101" s="15"/>
    </row>
    <row r="102" spans="2:5" x14ac:dyDescent="0.3">
      <c r="B102" s="15"/>
      <c r="C102" s="17"/>
      <c r="D102" s="15"/>
      <c r="E102" s="15"/>
    </row>
    <row r="103" spans="2:5" x14ac:dyDescent="0.3">
      <c r="B103" s="15"/>
      <c r="C103" s="17"/>
      <c r="D103" s="15"/>
      <c r="E103" s="15"/>
    </row>
    <row r="104" spans="2:5" x14ac:dyDescent="0.3">
      <c r="B104" s="15"/>
      <c r="C104" s="17"/>
      <c r="D104" s="15"/>
      <c r="E104" s="15"/>
    </row>
    <row r="105" spans="2:5" x14ac:dyDescent="0.3">
      <c r="B105" s="15"/>
      <c r="C105" s="17"/>
      <c r="D105" s="15"/>
      <c r="E105" s="15"/>
    </row>
    <row r="106" spans="2:5" x14ac:dyDescent="0.3">
      <c r="B106" s="15"/>
      <c r="C106" s="17"/>
      <c r="D106" s="15"/>
      <c r="E106" s="15"/>
    </row>
    <row r="107" spans="2:5" x14ac:dyDescent="0.3">
      <c r="B107" s="15"/>
      <c r="C107" s="17"/>
      <c r="D107" s="15"/>
      <c r="E107" s="15"/>
    </row>
    <row r="108" spans="2:5" x14ac:dyDescent="0.3">
      <c r="B108" s="15"/>
      <c r="C108" s="17"/>
      <c r="D108" s="15"/>
      <c r="E108" s="15"/>
    </row>
    <row r="109" spans="2:5" x14ac:dyDescent="0.25">
      <c r="B109" s="15"/>
      <c r="C109" s="15"/>
      <c r="D109" s="15"/>
      <c r="E109" s="15"/>
    </row>
    <row r="110" spans="2:5" x14ac:dyDescent="0.25">
      <c r="B110" s="15"/>
      <c r="C110" s="15"/>
      <c r="D110" s="15"/>
      <c r="E110" s="15"/>
    </row>
    <row r="111" spans="2:5" x14ac:dyDescent="0.25">
      <c r="B111" s="15"/>
      <c r="C111" s="15"/>
      <c r="D111" s="15"/>
      <c r="E111" s="15"/>
    </row>
    <row r="112" spans="2:5" x14ac:dyDescent="0.25">
      <c r="B112" s="15"/>
      <c r="C112" s="15"/>
      <c r="D112" s="15"/>
      <c r="E112" s="15"/>
    </row>
    <row r="113" spans="2:5" x14ac:dyDescent="0.25">
      <c r="B113" s="15"/>
      <c r="C113" s="15"/>
      <c r="D113" s="15"/>
      <c r="E113" s="15"/>
    </row>
    <row r="114" spans="2:5" x14ac:dyDescent="0.25">
      <c r="B114" s="15"/>
      <c r="C114" s="15"/>
      <c r="D114" s="15"/>
      <c r="E114" s="15"/>
    </row>
    <row r="115" spans="2:5" x14ac:dyDescent="0.25">
      <c r="B115" s="15"/>
      <c r="C115" s="15"/>
      <c r="D115" s="15"/>
      <c r="E115" s="15"/>
    </row>
    <row r="116" spans="2:5" x14ac:dyDescent="0.25">
      <c r="B116" s="15"/>
      <c r="C116" s="15"/>
      <c r="D116" s="15"/>
      <c r="E116" s="15"/>
    </row>
    <row r="117" spans="2:5" x14ac:dyDescent="0.25">
      <c r="B117" s="15"/>
      <c r="C117" s="15"/>
      <c r="D117" s="15"/>
      <c r="E117" s="15"/>
    </row>
    <row r="118" spans="2:5" x14ac:dyDescent="0.25">
      <c r="B118" s="15"/>
      <c r="C118" s="15"/>
      <c r="D118" s="15"/>
      <c r="E118" s="15"/>
    </row>
    <row r="119" spans="2:5" x14ac:dyDescent="0.25">
      <c r="B119" s="15"/>
      <c r="C119" s="15"/>
      <c r="D119" s="15"/>
      <c r="E119" s="15"/>
    </row>
    <row r="120" spans="2:5" x14ac:dyDescent="0.25">
      <c r="B120" s="15"/>
      <c r="C120" s="15"/>
      <c r="D120" s="15"/>
      <c r="E120" s="15"/>
    </row>
    <row r="121" spans="2:5" x14ac:dyDescent="0.25">
      <c r="B121" s="15"/>
      <c r="C121" s="15"/>
      <c r="D121" s="15"/>
      <c r="E121" s="15"/>
    </row>
    <row r="122" spans="2:5" x14ac:dyDescent="0.25">
      <c r="B122" s="15"/>
      <c r="C122" s="15"/>
      <c r="D122" s="15"/>
      <c r="E122" s="15"/>
    </row>
    <row r="123" spans="2:5" x14ac:dyDescent="0.25">
      <c r="B123" s="15"/>
      <c r="C123" s="15"/>
      <c r="D123" s="15"/>
      <c r="E123" s="15"/>
    </row>
    <row r="124" spans="2:5" x14ac:dyDescent="0.25">
      <c r="B124" s="15"/>
      <c r="C124" s="15"/>
      <c r="D124" s="15"/>
      <c r="E124" s="15"/>
    </row>
    <row r="125" spans="2:5" x14ac:dyDescent="0.25">
      <c r="B125" s="15"/>
      <c r="C125" s="15"/>
      <c r="D125" s="15"/>
      <c r="E125" s="15"/>
    </row>
    <row r="126" spans="2:5" x14ac:dyDescent="0.25">
      <c r="B126" s="15"/>
      <c r="C126" s="15"/>
      <c r="D126" s="15"/>
      <c r="E126" s="15"/>
    </row>
    <row r="127" spans="2:5" x14ac:dyDescent="0.25">
      <c r="B127" s="15"/>
      <c r="C127" s="15"/>
      <c r="D127" s="15"/>
      <c r="E127" s="15"/>
    </row>
    <row r="128" spans="2:5" x14ac:dyDescent="0.25">
      <c r="B128" s="15"/>
      <c r="C128" s="15"/>
      <c r="D128" s="15"/>
      <c r="E128" s="15"/>
    </row>
    <row r="129" spans="2:5" x14ac:dyDescent="0.25">
      <c r="B129" s="15"/>
      <c r="C129" s="15"/>
      <c r="D129" s="15"/>
      <c r="E129" s="15"/>
    </row>
    <row r="130" spans="2:5" x14ac:dyDescent="0.25">
      <c r="B130" s="15"/>
      <c r="C130" s="15"/>
      <c r="D130" s="15"/>
      <c r="E130" s="15"/>
    </row>
    <row r="131" spans="2:5" x14ac:dyDescent="0.25">
      <c r="B131" s="15"/>
      <c r="C131" s="15"/>
      <c r="D131" s="15"/>
      <c r="E131" s="15"/>
    </row>
    <row r="132" spans="2:5" x14ac:dyDescent="0.25">
      <c r="B132" s="15"/>
      <c r="C132" s="15"/>
      <c r="D132" s="15"/>
      <c r="E132" s="15"/>
    </row>
    <row r="133" spans="2:5" x14ac:dyDescent="0.25">
      <c r="B133" s="15"/>
      <c r="C133" s="15"/>
      <c r="D133" s="15"/>
      <c r="E133" s="15"/>
    </row>
    <row r="134" spans="2:5" x14ac:dyDescent="0.25">
      <c r="B134" s="15"/>
      <c r="C134" s="15"/>
      <c r="D134" s="15"/>
      <c r="E134" s="15"/>
    </row>
    <row r="135" spans="2:5" x14ac:dyDescent="0.25">
      <c r="B135" s="15"/>
      <c r="C135" s="15"/>
      <c r="D135" s="15"/>
      <c r="E135" s="15"/>
    </row>
    <row r="136" spans="2:5" x14ac:dyDescent="0.25">
      <c r="B136" s="15"/>
      <c r="C136" s="15"/>
      <c r="D136" s="15"/>
      <c r="E136" s="15"/>
    </row>
    <row r="137" spans="2:5" x14ac:dyDescent="0.25">
      <c r="B137" s="15"/>
      <c r="C137" s="15"/>
      <c r="D137" s="15"/>
      <c r="E137" s="15"/>
    </row>
    <row r="138" spans="2:5" x14ac:dyDescent="0.25">
      <c r="B138" s="15"/>
      <c r="C138" s="15"/>
      <c r="D138" s="15"/>
      <c r="E138" s="15"/>
    </row>
  </sheetData>
  <mergeCells count="2">
    <mergeCell ref="G1:H1"/>
    <mergeCell ref="B1:E1"/>
  </mergeCells>
  <pageMargins left="0.7" right="0.7" top="0.75" bottom="0.75" header="0.3" footer="0.3"/>
  <headerFooter>
    <oddFooter>&amp;C_x000D_&amp;1#&amp;"Calibri"&amp;15&amp;KA80000 * Highly Confidential *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FF49-151D-46A8-AA51-A383905EDDBD}">
  <dimension ref="A1:Y132"/>
  <sheetViews>
    <sheetView zoomScale="57" zoomScaleNormal="57" workbookViewId="0">
      <selection activeCell="H14" sqref="H14"/>
    </sheetView>
  </sheetViews>
  <sheetFormatPr defaultColWidth="9" defaultRowHeight="14" x14ac:dyDescent="0.3"/>
  <cols>
    <col min="1" max="1" width="20.54296875" style="16" customWidth="1"/>
    <col min="2" max="2" width="11.7265625" style="1" customWidth="1"/>
    <col min="3" max="3" width="11.1796875" style="1" customWidth="1"/>
    <col min="4" max="7" width="20.54296875" style="21" customWidth="1"/>
    <col min="8" max="8" width="25.81640625" style="21" customWidth="1"/>
    <col min="9" max="9" width="13.54296875" style="21" customWidth="1"/>
    <col min="10" max="10" width="19.6328125" style="17" customWidth="1"/>
    <col min="11" max="11" width="83.26953125" style="17" customWidth="1"/>
    <col min="12" max="12" width="16.36328125" style="17" bestFit="1" customWidth="1"/>
    <col min="13" max="19" width="14.6328125" style="17" customWidth="1"/>
    <col min="20" max="25" width="20.54296875" style="21" customWidth="1"/>
    <col min="26" max="16384" width="9" style="17"/>
  </cols>
  <sheetData>
    <row r="1" spans="1:25" s="25" customFormat="1" ht="26.65" customHeight="1" x14ac:dyDescent="0.3">
      <c r="A1" s="164"/>
      <c r="B1" s="246" t="s">
        <v>142</v>
      </c>
      <c r="C1" s="247"/>
      <c r="D1" s="244" t="s">
        <v>143</v>
      </c>
      <c r="E1" s="245"/>
      <c r="F1" s="245"/>
      <c r="G1" s="245"/>
      <c r="H1" s="245"/>
      <c r="I1" s="245"/>
      <c r="J1" s="248" t="s">
        <v>144</v>
      </c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50"/>
    </row>
    <row r="2" spans="1:25" s="26" customFormat="1" ht="57.75" customHeight="1" thickBot="1" x14ac:dyDescent="0.35">
      <c r="A2" s="165" t="s">
        <v>10</v>
      </c>
      <c r="B2" s="191" t="s">
        <v>38</v>
      </c>
      <c r="C2" s="192" t="s">
        <v>39</v>
      </c>
      <c r="D2" s="169" t="s">
        <v>40</v>
      </c>
      <c r="E2" s="170" t="s">
        <v>41</v>
      </c>
      <c r="F2" s="170" t="s">
        <v>42</v>
      </c>
      <c r="G2" s="170" t="s">
        <v>43</v>
      </c>
      <c r="H2" s="170" t="s">
        <v>44</v>
      </c>
      <c r="I2" s="170" t="s">
        <v>128</v>
      </c>
      <c r="J2" s="172" t="s">
        <v>178</v>
      </c>
      <c r="K2" s="208" t="s">
        <v>51</v>
      </c>
      <c r="L2" s="218"/>
      <c r="M2" s="218"/>
      <c r="N2" s="218"/>
      <c r="O2" s="218"/>
      <c r="P2" s="218"/>
      <c r="Q2" s="218"/>
      <c r="R2" s="218"/>
      <c r="S2" s="218"/>
      <c r="T2" s="173" t="s">
        <v>45</v>
      </c>
      <c r="U2" s="173" t="s">
        <v>46</v>
      </c>
      <c r="V2" s="173" t="s">
        <v>47</v>
      </c>
      <c r="W2" s="173" t="s">
        <v>48</v>
      </c>
      <c r="X2" s="173" t="s">
        <v>49</v>
      </c>
      <c r="Y2" s="174" t="s">
        <v>50</v>
      </c>
    </row>
    <row r="3" spans="1:25" s="26" customFormat="1" ht="19.5" customHeight="1" x14ac:dyDescent="0.3">
      <c r="A3" s="209"/>
      <c r="B3" s="210"/>
      <c r="C3" s="211"/>
      <c r="D3" s="212"/>
      <c r="E3" s="213"/>
      <c r="F3" s="213"/>
      <c r="G3" s="213"/>
      <c r="H3" s="213"/>
      <c r="I3" s="213"/>
      <c r="J3" s="214"/>
      <c r="K3" s="215"/>
      <c r="L3" s="219" t="s">
        <v>152</v>
      </c>
      <c r="M3" s="219" t="s">
        <v>153</v>
      </c>
      <c r="N3" s="219" t="s">
        <v>160</v>
      </c>
      <c r="O3" s="219" t="s">
        <v>154</v>
      </c>
      <c r="P3" s="219" t="s">
        <v>155</v>
      </c>
      <c r="Q3" s="219" t="s">
        <v>156</v>
      </c>
      <c r="R3" s="219" t="s">
        <v>163</v>
      </c>
      <c r="S3" s="219" t="s">
        <v>170</v>
      </c>
      <c r="T3" s="216"/>
      <c r="U3" s="216"/>
      <c r="V3" s="216"/>
      <c r="W3" s="216"/>
      <c r="X3" s="216"/>
      <c r="Y3" s="217"/>
    </row>
    <row r="4" spans="1:25" ht="18" customHeight="1" x14ac:dyDescent="0.35">
      <c r="A4" s="175">
        <v>830</v>
      </c>
      <c r="B4" s="202">
        <v>20.970380000000002</v>
      </c>
      <c r="C4" s="178">
        <v>13127</v>
      </c>
      <c r="D4" s="199">
        <v>25</v>
      </c>
      <c r="E4" s="156">
        <v>210</v>
      </c>
      <c r="F4" s="156">
        <v>270</v>
      </c>
      <c r="G4" s="203">
        <v>10</v>
      </c>
      <c r="H4" s="203">
        <v>584.02199999999993</v>
      </c>
      <c r="I4" s="156">
        <v>112.8</v>
      </c>
      <c r="J4" s="204">
        <v>2</v>
      </c>
      <c r="K4" s="205" t="s">
        <v>52</v>
      </c>
      <c r="L4" s="205" t="s">
        <v>157</v>
      </c>
      <c r="M4" s="205" t="s">
        <v>158</v>
      </c>
      <c r="N4" s="205"/>
      <c r="O4" s="205" t="s">
        <v>159</v>
      </c>
      <c r="P4" s="205" t="s">
        <v>159</v>
      </c>
      <c r="Q4" s="205"/>
      <c r="R4" s="205"/>
      <c r="S4" s="205"/>
      <c r="T4" s="206">
        <v>5.9</v>
      </c>
      <c r="U4" s="206">
        <v>2.2999999999999998</v>
      </c>
      <c r="V4" s="206">
        <v>41.3</v>
      </c>
      <c r="W4" s="206">
        <v>61.5</v>
      </c>
      <c r="X4" s="206">
        <v>165.8</v>
      </c>
      <c r="Y4" s="207">
        <v>24.5</v>
      </c>
    </row>
    <row r="5" spans="1:25" ht="18" customHeight="1" x14ac:dyDescent="0.4">
      <c r="A5" s="140">
        <v>831</v>
      </c>
      <c r="B5" s="70">
        <v>20.856100000000001</v>
      </c>
      <c r="C5" s="61">
        <v>13138</v>
      </c>
      <c r="D5" s="105">
        <v>25</v>
      </c>
      <c r="E5" s="73">
        <v>210</v>
      </c>
      <c r="F5" s="73">
        <v>240</v>
      </c>
      <c r="G5" s="108">
        <v>9.3000000000000007</v>
      </c>
      <c r="H5" s="108">
        <v>584.53975000000003</v>
      </c>
      <c r="I5" s="73">
        <v>112.9</v>
      </c>
      <c r="J5" s="251">
        <v>4</v>
      </c>
      <c r="K5" s="132" t="s">
        <v>53</v>
      </c>
      <c r="L5" s="132" t="s">
        <v>159</v>
      </c>
      <c r="M5" s="132"/>
      <c r="N5" s="132"/>
      <c r="O5" s="132"/>
      <c r="P5" s="132"/>
      <c r="Q5" s="132"/>
      <c r="R5" s="132"/>
      <c r="S5" s="132"/>
      <c r="T5" s="133">
        <v>6.4</v>
      </c>
      <c r="U5" s="133">
        <v>2.4</v>
      </c>
      <c r="V5" s="133">
        <v>43.1</v>
      </c>
      <c r="W5" s="133">
        <v>74.400000000000006</v>
      </c>
      <c r="X5" s="133">
        <v>173.6</v>
      </c>
      <c r="Y5" s="134">
        <v>27.6</v>
      </c>
    </row>
    <row r="6" spans="1:25" ht="18" customHeight="1" x14ac:dyDescent="0.35">
      <c r="A6" s="140">
        <v>832</v>
      </c>
      <c r="B6" s="70">
        <v>20.913240000000002</v>
      </c>
      <c r="C6" s="61">
        <v>13155</v>
      </c>
      <c r="D6" s="105">
        <v>25</v>
      </c>
      <c r="E6" s="73">
        <v>210</v>
      </c>
      <c r="F6" s="73">
        <v>240</v>
      </c>
      <c r="G6" s="108">
        <v>9.3000000000000007</v>
      </c>
      <c r="H6" s="108">
        <v>583.64499999999998</v>
      </c>
      <c r="I6" s="73">
        <v>113</v>
      </c>
      <c r="J6" s="122">
        <v>2</v>
      </c>
      <c r="K6" s="132" t="s">
        <v>54</v>
      </c>
      <c r="L6" s="132" t="s">
        <v>158</v>
      </c>
      <c r="M6" s="132"/>
      <c r="N6" s="132" t="s">
        <v>159</v>
      </c>
      <c r="O6" s="132" t="s">
        <v>157</v>
      </c>
      <c r="P6" s="132"/>
      <c r="Q6" s="132"/>
      <c r="R6" s="132"/>
      <c r="S6" s="132"/>
      <c r="T6" s="133">
        <v>6.4</v>
      </c>
      <c r="U6" s="133">
        <v>2.6</v>
      </c>
      <c r="V6" s="133">
        <v>42.2</v>
      </c>
      <c r="W6" s="133">
        <v>72.599999999999994</v>
      </c>
      <c r="X6" s="133">
        <v>174.4</v>
      </c>
      <c r="Y6" s="134">
        <v>26.6</v>
      </c>
    </row>
    <row r="7" spans="1:25" ht="18" customHeight="1" x14ac:dyDescent="0.35">
      <c r="A7" s="140">
        <v>833</v>
      </c>
      <c r="B7" s="70">
        <v>20.856100000000001</v>
      </c>
      <c r="C7" s="61">
        <v>13143</v>
      </c>
      <c r="D7" s="105">
        <v>25</v>
      </c>
      <c r="E7" s="73">
        <v>210</v>
      </c>
      <c r="F7" s="73">
        <v>240</v>
      </c>
      <c r="G7" s="108">
        <v>9.3000000000000007</v>
      </c>
      <c r="H7" s="108">
        <v>584.35125000000005</v>
      </c>
      <c r="I7" s="73">
        <v>113</v>
      </c>
      <c r="J7" s="122">
        <v>2</v>
      </c>
      <c r="K7" s="132" t="s">
        <v>55</v>
      </c>
      <c r="L7" s="132" t="s">
        <v>157</v>
      </c>
      <c r="M7" s="132"/>
      <c r="N7" s="132"/>
      <c r="O7" s="132"/>
      <c r="P7" s="132"/>
      <c r="Q7" s="132" t="s">
        <v>161</v>
      </c>
      <c r="R7" s="132"/>
      <c r="S7" s="132"/>
      <c r="T7" s="133">
        <v>6.6</v>
      </c>
      <c r="U7" s="133">
        <v>3</v>
      </c>
      <c r="V7" s="133">
        <v>41.9</v>
      </c>
      <c r="W7" s="133">
        <v>60.9</v>
      </c>
      <c r="X7" s="133">
        <v>173.1</v>
      </c>
      <c r="Y7" s="134">
        <v>31</v>
      </c>
    </row>
    <row r="8" spans="1:25" ht="18" customHeight="1" x14ac:dyDescent="0.35">
      <c r="A8" s="140">
        <v>834</v>
      </c>
      <c r="B8" s="70">
        <v>20.913240000000002</v>
      </c>
      <c r="C8" s="61">
        <v>13126</v>
      </c>
      <c r="D8" s="105">
        <v>25</v>
      </c>
      <c r="E8" s="73">
        <v>210</v>
      </c>
      <c r="F8" s="73">
        <v>250</v>
      </c>
      <c r="G8" s="108">
        <v>9.4</v>
      </c>
      <c r="H8" s="108">
        <v>583.59900000000005</v>
      </c>
      <c r="I8" s="73">
        <v>112.8</v>
      </c>
      <c r="J8" s="122">
        <v>2</v>
      </c>
      <c r="K8" s="132" t="s">
        <v>162</v>
      </c>
      <c r="L8" s="132" t="s">
        <v>157</v>
      </c>
      <c r="M8" s="132" t="s">
        <v>159</v>
      </c>
      <c r="N8" s="132"/>
      <c r="O8" s="132"/>
      <c r="P8" s="132"/>
      <c r="Q8" s="132"/>
      <c r="R8" s="132"/>
      <c r="S8" s="132"/>
      <c r="T8" s="133">
        <v>6.2</v>
      </c>
      <c r="U8" s="133">
        <v>2.6</v>
      </c>
      <c r="V8" s="133">
        <v>38.1</v>
      </c>
      <c r="W8" s="133">
        <v>63.8</v>
      </c>
      <c r="X8" s="133">
        <v>168.7</v>
      </c>
      <c r="Y8" s="134">
        <v>29.6</v>
      </c>
    </row>
    <row r="9" spans="1:25" ht="18" customHeight="1" x14ac:dyDescent="0.35">
      <c r="A9" s="140">
        <v>835</v>
      </c>
      <c r="B9" s="70">
        <v>20.970380000000002</v>
      </c>
      <c r="C9" s="61">
        <v>13118</v>
      </c>
      <c r="D9" s="105">
        <v>25</v>
      </c>
      <c r="E9" s="73">
        <v>210</v>
      </c>
      <c r="F9" s="73">
        <v>235</v>
      </c>
      <c r="G9" s="108">
        <v>9.25</v>
      </c>
      <c r="H9" s="108">
        <v>583.78599999999994</v>
      </c>
      <c r="I9" s="73">
        <v>112.7</v>
      </c>
      <c r="J9" s="122">
        <v>2</v>
      </c>
      <c r="K9" s="132" t="s">
        <v>56</v>
      </c>
      <c r="L9" s="132" t="s">
        <v>157</v>
      </c>
      <c r="M9" s="132"/>
      <c r="N9" s="132"/>
      <c r="O9" s="132"/>
      <c r="P9" s="132"/>
      <c r="Q9" s="132"/>
      <c r="R9" s="132" t="s">
        <v>159</v>
      </c>
      <c r="S9" s="132"/>
      <c r="T9" s="133">
        <v>5.6</v>
      </c>
      <c r="U9" s="133">
        <v>2.2999999999999998</v>
      </c>
      <c r="V9" s="133">
        <v>37.200000000000003</v>
      </c>
      <c r="W9" s="133">
        <v>64.099999999999994</v>
      </c>
      <c r="X9" s="133">
        <v>155.19999999999999</v>
      </c>
      <c r="Y9" s="134">
        <v>23.7</v>
      </c>
    </row>
    <row r="10" spans="1:25" ht="18" customHeight="1" x14ac:dyDescent="0.35">
      <c r="A10" s="140">
        <v>836</v>
      </c>
      <c r="B10" s="70">
        <v>20.856100000000001</v>
      </c>
      <c r="C10" s="61">
        <v>13146</v>
      </c>
      <c r="D10" s="105">
        <v>25</v>
      </c>
      <c r="E10" s="73">
        <v>210</v>
      </c>
      <c r="F10" s="73">
        <v>240</v>
      </c>
      <c r="G10" s="108">
        <v>9.3000000000000007</v>
      </c>
      <c r="H10" s="108">
        <v>584.68087500000001</v>
      </c>
      <c r="I10" s="73">
        <v>112.9</v>
      </c>
      <c r="J10" s="122">
        <v>2</v>
      </c>
      <c r="K10" s="132" t="s">
        <v>57</v>
      </c>
      <c r="L10" s="132" t="s">
        <v>158</v>
      </c>
      <c r="M10" s="132" t="s">
        <v>164</v>
      </c>
      <c r="N10" s="132"/>
      <c r="O10" s="132" t="s">
        <v>159</v>
      </c>
      <c r="P10" s="132" t="s">
        <v>159</v>
      </c>
      <c r="Q10" s="132"/>
      <c r="R10" s="132"/>
      <c r="S10" s="132"/>
      <c r="T10" s="133">
        <v>5.8</v>
      </c>
      <c r="U10" s="133">
        <v>2.2000000000000002</v>
      </c>
      <c r="V10" s="133">
        <v>40.700000000000003</v>
      </c>
      <c r="W10" s="133">
        <v>59.7</v>
      </c>
      <c r="X10" s="133">
        <v>161.6</v>
      </c>
      <c r="Y10" s="134">
        <v>24.2</v>
      </c>
    </row>
    <row r="11" spans="1:25" ht="18" customHeight="1" x14ac:dyDescent="0.35">
      <c r="A11" s="140">
        <v>837</v>
      </c>
      <c r="B11" s="70">
        <v>20.684680000000004</v>
      </c>
      <c r="C11" s="61">
        <v>13139</v>
      </c>
      <c r="D11" s="105">
        <v>25</v>
      </c>
      <c r="E11" s="73">
        <v>210</v>
      </c>
      <c r="F11" s="73">
        <v>240</v>
      </c>
      <c r="G11" s="108">
        <v>9.3000000000000007</v>
      </c>
      <c r="H11" s="108">
        <v>585.00974999999994</v>
      </c>
      <c r="I11" s="73">
        <v>113.1</v>
      </c>
      <c r="J11" s="122">
        <v>2</v>
      </c>
      <c r="K11" s="132" t="s">
        <v>175</v>
      </c>
      <c r="L11" s="132" t="s">
        <v>157</v>
      </c>
      <c r="M11" s="132" t="s">
        <v>158</v>
      </c>
      <c r="N11" s="132"/>
      <c r="O11" s="132"/>
      <c r="P11" s="132"/>
      <c r="Q11" s="132"/>
      <c r="R11" s="132"/>
      <c r="S11" s="132"/>
      <c r="T11" s="133">
        <v>5.8</v>
      </c>
      <c r="U11" s="133">
        <v>2.1</v>
      </c>
      <c r="V11" s="133">
        <v>40.700000000000003</v>
      </c>
      <c r="W11" s="133">
        <v>59.7</v>
      </c>
      <c r="X11" s="133">
        <v>162.30000000000001</v>
      </c>
      <c r="Y11" s="134">
        <v>25</v>
      </c>
    </row>
    <row r="12" spans="1:25" ht="18" customHeight="1" x14ac:dyDescent="0.35">
      <c r="A12" s="140">
        <v>838</v>
      </c>
      <c r="B12" s="70">
        <v>20.856100000000001</v>
      </c>
      <c r="C12" s="61">
        <v>13140</v>
      </c>
      <c r="D12" s="105">
        <v>25</v>
      </c>
      <c r="E12" s="73">
        <v>210</v>
      </c>
      <c r="F12" s="73">
        <v>240</v>
      </c>
      <c r="G12" s="108">
        <v>9.3000000000000007</v>
      </c>
      <c r="H12" s="108">
        <v>585.00900000000001</v>
      </c>
      <c r="I12" s="73">
        <v>112.8</v>
      </c>
      <c r="J12" s="122">
        <v>2</v>
      </c>
      <c r="K12" s="132" t="s">
        <v>58</v>
      </c>
      <c r="L12" s="132" t="s">
        <v>157</v>
      </c>
      <c r="M12" s="132"/>
      <c r="N12" s="132" t="s">
        <v>158</v>
      </c>
      <c r="O12" s="132"/>
      <c r="P12" s="132"/>
      <c r="Q12" s="132" t="s">
        <v>159</v>
      </c>
      <c r="R12" s="132"/>
      <c r="S12" s="132"/>
      <c r="T12" s="133">
        <v>6</v>
      </c>
      <c r="U12" s="133">
        <v>2.5</v>
      </c>
      <c r="V12" s="133">
        <v>39.799999999999997</v>
      </c>
      <c r="W12" s="133">
        <v>56.9</v>
      </c>
      <c r="X12" s="133">
        <v>160.4</v>
      </c>
      <c r="Y12" s="134">
        <v>27.5</v>
      </c>
    </row>
    <row r="13" spans="1:25" ht="18" customHeight="1" x14ac:dyDescent="0.35">
      <c r="A13" s="140">
        <v>839</v>
      </c>
      <c r="B13" s="70">
        <v>20.913240000000002</v>
      </c>
      <c r="C13" s="61">
        <v>13129</v>
      </c>
      <c r="D13" s="105">
        <v>25</v>
      </c>
      <c r="E13" s="73">
        <v>210</v>
      </c>
      <c r="F13" s="73">
        <v>270</v>
      </c>
      <c r="G13" s="108">
        <v>10</v>
      </c>
      <c r="H13" s="108">
        <v>586.60349999999994</v>
      </c>
      <c r="I13" s="73">
        <v>112.7</v>
      </c>
      <c r="J13" s="122">
        <v>2</v>
      </c>
      <c r="K13" s="132" t="s">
        <v>59</v>
      </c>
      <c r="L13" s="132" t="s">
        <v>157</v>
      </c>
      <c r="M13" s="132" t="s">
        <v>159</v>
      </c>
      <c r="N13" s="132"/>
      <c r="O13" s="132" t="s">
        <v>158</v>
      </c>
      <c r="P13" s="132" t="s">
        <v>158</v>
      </c>
      <c r="Q13" s="132"/>
      <c r="R13" s="132"/>
      <c r="S13" s="132"/>
      <c r="T13" s="133">
        <v>6</v>
      </c>
      <c r="U13" s="133">
        <v>2.7</v>
      </c>
      <c r="V13" s="133">
        <v>41.5</v>
      </c>
      <c r="W13" s="133">
        <v>56.7</v>
      </c>
      <c r="X13" s="133">
        <v>150.19999999999999</v>
      </c>
      <c r="Y13" s="134">
        <v>29.6</v>
      </c>
    </row>
    <row r="14" spans="1:25" ht="18" customHeight="1" x14ac:dyDescent="0.35">
      <c r="A14" s="140">
        <v>840</v>
      </c>
      <c r="B14" s="70">
        <v>20.970380000000002</v>
      </c>
      <c r="C14" s="61">
        <v>13080</v>
      </c>
      <c r="D14" s="105">
        <v>25</v>
      </c>
      <c r="E14" s="73">
        <v>210</v>
      </c>
      <c r="F14" s="73">
        <v>240</v>
      </c>
      <c r="G14" s="108">
        <v>9.3000000000000007</v>
      </c>
      <c r="H14" s="108">
        <v>584.72699999999998</v>
      </c>
      <c r="I14" s="73">
        <v>112.8</v>
      </c>
      <c r="J14" s="122">
        <v>3</v>
      </c>
      <c r="K14" s="132" t="s">
        <v>176</v>
      </c>
      <c r="L14" s="132"/>
      <c r="M14" s="132"/>
      <c r="N14" s="132"/>
      <c r="O14" s="132" t="s">
        <v>157</v>
      </c>
      <c r="P14" s="132" t="s">
        <v>157</v>
      </c>
      <c r="Q14" s="132"/>
      <c r="R14" s="132"/>
      <c r="S14" s="132"/>
      <c r="T14" s="133">
        <v>6</v>
      </c>
      <c r="U14" s="133">
        <v>3</v>
      </c>
      <c r="V14" s="133">
        <v>41.5</v>
      </c>
      <c r="W14" s="133">
        <v>56.3</v>
      </c>
      <c r="X14" s="133">
        <v>149.30000000000001</v>
      </c>
      <c r="Y14" s="134">
        <v>28.4</v>
      </c>
    </row>
    <row r="15" spans="1:25" ht="18" customHeight="1" x14ac:dyDescent="0.35">
      <c r="A15" s="140">
        <v>841</v>
      </c>
      <c r="B15" s="70">
        <v>20.856100000000001</v>
      </c>
      <c r="C15" s="61">
        <v>13137</v>
      </c>
      <c r="D15" s="105">
        <v>25</v>
      </c>
      <c r="E15" s="73">
        <v>210</v>
      </c>
      <c r="F15" s="73">
        <v>240</v>
      </c>
      <c r="G15" s="108">
        <v>9.3000000000000007</v>
      </c>
      <c r="H15" s="108">
        <v>584.53975000000003</v>
      </c>
      <c r="I15" s="73">
        <v>112.9</v>
      </c>
      <c r="J15" s="122">
        <v>3</v>
      </c>
      <c r="K15" s="132" t="s">
        <v>60</v>
      </c>
      <c r="L15" s="132" t="s">
        <v>158</v>
      </c>
      <c r="M15" s="132" t="s">
        <v>159</v>
      </c>
      <c r="N15" s="132" t="s">
        <v>159</v>
      </c>
      <c r="O15" s="132" t="s">
        <v>159</v>
      </c>
      <c r="P15" s="132"/>
      <c r="Q15" s="132"/>
      <c r="R15" s="132"/>
      <c r="S15" s="132"/>
      <c r="T15" s="133">
        <v>5.7</v>
      </c>
      <c r="U15" s="133">
        <v>2.1</v>
      </c>
      <c r="V15" s="133">
        <v>42.1</v>
      </c>
      <c r="W15" s="133">
        <v>53.8</v>
      </c>
      <c r="X15" s="133">
        <v>151.69999999999999</v>
      </c>
      <c r="Y15" s="134">
        <v>24.6</v>
      </c>
    </row>
    <row r="16" spans="1:25" ht="18" customHeight="1" x14ac:dyDescent="0.35">
      <c r="A16" s="140">
        <v>842</v>
      </c>
      <c r="B16" s="70">
        <v>20.913240000000002</v>
      </c>
      <c r="C16" s="61">
        <v>13142</v>
      </c>
      <c r="D16" s="105">
        <v>25</v>
      </c>
      <c r="E16" s="73">
        <v>210</v>
      </c>
      <c r="F16" s="73">
        <v>240</v>
      </c>
      <c r="G16" s="108">
        <v>9.3000000000000007</v>
      </c>
      <c r="H16" s="108">
        <v>585.24537500000008</v>
      </c>
      <c r="I16" s="73">
        <v>112.9</v>
      </c>
      <c r="J16" s="122">
        <v>2</v>
      </c>
      <c r="K16" s="132" t="s">
        <v>61</v>
      </c>
      <c r="L16" s="132" t="s">
        <v>165</v>
      </c>
      <c r="M16" s="132"/>
      <c r="N16" s="132"/>
      <c r="O16" s="132" t="s">
        <v>158</v>
      </c>
      <c r="P16" s="132"/>
      <c r="Q16" s="132"/>
      <c r="R16" s="132"/>
      <c r="S16" s="132"/>
      <c r="T16" s="113">
        <v>5.8</v>
      </c>
      <c r="U16" s="113">
        <v>2.1</v>
      </c>
      <c r="V16" s="113">
        <v>42.6</v>
      </c>
      <c r="W16" s="113">
        <v>54.6</v>
      </c>
      <c r="X16" s="113">
        <v>153.1</v>
      </c>
      <c r="Y16" s="121">
        <v>27.3</v>
      </c>
    </row>
    <row r="17" spans="1:25" ht="18" customHeight="1" x14ac:dyDescent="0.35">
      <c r="A17" s="140">
        <v>843</v>
      </c>
      <c r="B17" s="70">
        <v>20.856100000000001</v>
      </c>
      <c r="C17" s="61">
        <v>13139</v>
      </c>
      <c r="D17" s="105">
        <v>25</v>
      </c>
      <c r="E17" s="73">
        <v>210</v>
      </c>
      <c r="F17" s="73">
        <v>235</v>
      </c>
      <c r="G17" s="108">
        <v>9.25</v>
      </c>
      <c r="H17" s="108">
        <v>584.35125000000005</v>
      </c>
      <c r="I17" s="73">
        <v>113</v>
      </c>
      <c r="J17" s="122">
        <v>2</v>
      </c>
      <c r="K17" s="132" t="s">
        <v>62</v>
      </c>
      <c r="L17" s="132" t="s">
        <v>157</v>
      </c>
      <c r="M17" s="132" t="s">
        <v>159</v>
      </c>
      <c r="N17" s="132"/>
      <c r="O17" s="132" t="s">
        <v>158</v>
      </c>
      <c r="P17" s="132" t="s">
        <v>158</v>
      </c>
      <c r="Q17" s="132"/>
      <c r="R17" s="132"/>
      <c r="S17" s="132"/>
      <c r="T17" s="113">
        <v>5.6</v>
      </c>
      <c r="U17" s="113">
        <v>2.1</v>
      </c>
      <c r="V17" s="113">
        <v>41.4</v>
      </c>
      <c r="W17" s="113">
        <v>52.9</v>
      </c>
      <c r="X17" s="113">
        <v>149.80000000000001</v>
      </c>
      <c r="Y17" s="121">
        <v>23.7</v>
      </c>
    </row>
    <row r="18" spans="1:25" ht="18" customHeight="1" x14ac:dyDescent="0.35">
      <c r="A18" s="140">
        <v>844</v>
      </c>
      <c r="B18" s="70">
        <v>20.741820000000001</v>
      </c>
      <c r="C18" s="61">
        <v>13133</v>
      </c>
      <c r="D18" s="105">
        <v>25</v>
      </c>
      <c r="E18" s="73">
        <v>210</v>
      </c>
      <c r="F18" s="73">
        <v>240</v>
      </c>
      <c r="G18" s="108">
        <v>9.3000000000000007</v>
      </c>
      <c r="H18" s="108">
        <v>584.11637500000006</v>
      </c>
      <c r="I18" s="73">
        <v>112.9</v>
      </c>
      <c r="J18" s="122">
        <v>2</v>
      </c>
      <c r="K18" s="132" t="s">
        <v>177</v>
      </c>
      <c r="L18" s="132" t="s">
        <v>158</v>
      </c>
      <c r="M18" s="132"/>
      <c r="N18" s="132"/>
      <c r="O18" s="132" t="s">
        <v>158</v>
      </c>
      <c r="P18" s="132"/>
      <c r="Q18" s="132"/>
      <c r="R18" s="132"/>
      <c r="S18" s="132"/>
      <c r="T18" s="113">
        <v>5.5</v>
      </c>
      <c r="U18" s="113">
        <v>2.1</v>
      </c>
      <c r="V18" s="113">
        <v>40</v>
      </c>
      <c r="W18" s="113">
        <v>51.1</v>
      </c>
      <c r="X18" s="113">
        <v>143.1</v>
      </c>
      <c r="Y18" s="121">
        <v>25.7</v>
      </c>
    </row>
    <row r="19" spans="1:25" ht="18" customHeight="1" x14ac:dyDescent="0.35">
      <c r="A19" s="140">
        <v>845</v>
      </c>
      <c r="B19" s="70">
        <v>20.856100000000001</v>
      </c>
      <c r="C19" s="61">
        <v>13154</v>
      </c>
      <c r="D19" s="105">
        <v>25</v>
      </c>
      <c r="E19" s="73">
        <v>210</v>
      </c>
      <c r="F19" s="73">
        <v>235</v>
      </c>
      <c r="G19" s="108">
        <v>9.25</v>
      </c>
      <c r="H19" s="108">
        <v>585.34</v>
      </c>
      <c r="I19" s="73">
        <v>113</v>
      </c>
      <c r="J19" s="122">
        <v>2</v>
      </c>
      <c r="K19" s="132" t="s">
        <v>63</v>
      </c>
      <c r="L19" s="132" t="s">
        <v>157</v>
      </c>
      <c r="M19" s="132"/>
      <c r="N19" s="132"/>
      <c r="O19" s="132" t="s">
        <v>159</v>
      </c>
      <c r="P19" s="132"/>
      <c r="Q19" s="132"/>
      <c r="R19" s="132"/>
      <c r="S19" s="132"/>
      <c r="T19" s="133">
        <v>5.5</v>
      </c>
      <c r="U19" s="133">
        <v>2.2000000000000002</v>
      </c>
      <c r="V19" s="133">
        <v>40.4</v>
      </c>
      <c r="W19" s="133">
        <v>51.5</v>
      </c>
      <c r="X19" s="133">
        <v>145.19999999999999</v>
      </c>
      <c r="Y19" s="134">
        <v>25.3</v>
      </c>
    </row>
    <row r="20" spans="1:25" ht="18" customHeight="1" x14ac:dyDescent="0.35">
      <c r="A20" s="140">
        <v>846</v>
      </c>
      <c r="B20" s="70">
        <v>20.913240000000002</v>
      </c>
      <c r="C20" s="61">
        <v>13139</v>
      </c>
      <c r="D20" s="105">
        <v>25</v>
      </c>
      <c r="E20" s="73">
        <v>210</v>
      </c>
      <c r="F20" s="73">
        <v>240</v>
      </c>
      <c r="G20" s="108">
        <v>9.3000000000000007</v>
      </c>
      <c r="H20" s="108">
        <v>585.47649999999999</v>
      </c>
      <c r="I20" s="73">
        <v>112.7</v>
      </c>
      <c r="J20" s="122">
        <v>2</v>
      </c>
      <c r="K20" s="132" t="s">
        <v>64</v>
      </c>
      <c r="L20" s="132" t="s">
        <v>157</v>
      </c>
      <c r="M20" s="132" t="s">
        <v>158</v>
      </c>
      <c r="N20" s="132"/>
      <c r="O20" s="132"/>
      <c r="P20" s="132"/>
      <c r="Q20" s="132"/>
      <c r="R20" s="132"/>
      <c r="S20" s="132"/>
      <c r="T20" s="133">
        <v>5.7</v>
      </c>
      <c r="U20" s="133">
        <v>2.4</v>
      </c>
      <c r="V20" s="133">
        <v>37.659999999999997</v>
      </c>
      <c r="W20" s="133">
        <v>44.3</v>
      </c>
      <c r="X20" s="133">
        <v>152.6</v>
      </c>
      <c r="Y20" s="134">
        <v>21.8</v>
      </c>
    </row>
    <row r="21" spans="1:25" ht="18" customHeight="1" x14ac:dyDescent="0.35">
      <c r="A21" s="140">
        <v>847</v>
      </c>
      <c r="B21" s="70">
        <v>20.913240000000002</v>
      </c>
      <c r="C21" s="61">
        <v>13117</v>
      </c>
      <c r="D21" s="105">
        <v>25</v>
      </c>
      <c r="E21" s="73">
        <v>210</v>
      </c>
      <c r="F21" s="73">
        <v>240</v>
      </c>
      <c r="G21" s="108">
        <v>9.3000000000000007</v>
      </c>
      <c r="H21" s="108">
        <v>586.1875</v>
      </c>
      <c r="I21" s="73">
        <v>113</v>
      </c>
      <c r="J21" s="122">
        <v>2</v>
      </c>
      <c r="K21" s="132" t="s">
        <v>65</v>
      </c>
      <c r="L21" s="132" t="s">
        <v>157</v>
      </c>
      <c r="M21" s="132" t="s">
        <v>158</v>
      </c>
      <c r="N21" s="132"/>
      <c r="O21" s="132" t="s">
        <v>157</v>
      </c>
      <c r="P21" s="132"/>
      <c r="Q21" s="132" t="s">
        <v>159</v>
      </c>
      <c r="R21" s="132"/>
      <c r="S21" s="132"/>
      <c r="T21" s="133">
        <v>5.9</v>
      </c>
      <c r="U21" s="133">
        <v>2.5</v>
      </c>
      <c r="V21" s="133">
        <v>38.9</v>
      </c>
      <c r="W21" s="133">
        <v>46.1</v>
      </c>
      <c r="X21" s="133">
        <v>158.19999999999999</v>
      </c>
      <c r="Y21" s="134">
        <v>23.9</v>
      </c>
    </row>
    <row r="22" spans="1:25" ht="18" customHeight="1" x14ac:dyDescent="0.35">
      <c r="A22" s="140">
        <v>848</v>
      </c>
      <c r="B22" s="70">
        <v>20.856100000000001</v>
      </c>
      <c r="C22" s="61">
        <v>13143</v>
      </c>
      <c r="D22" s="105">
        <v>25</v>
      </c>
      <c r="E22" s="73">
        <v>210</v>
      </c>
      <c r="F22" s="73">
        <v>240</v>
      </c>
      <c r="G22" s="108">
        <v>9.3000000000000007</v>
      </c>
      <c r="H22" s="108">
        <v>584.63374999999996</v>
      </c>
      <c r="I22" s="73">
        <v>113</v>
      </c>
      <c r="J22" s="122">
        <v>2</v>
      </c>
      <c r="K22" s="132" t="s">
        <v>166</v>
      </c>
      <c r="L22" s="132" t="s">
        <v>157</v>
      </c>
      <c r="M22" s="132"/>
      <c r="N22" s="132"/>
      <c r="O22" s="132"/>
      <c r="P22" s="132"/>
      <c r="Q22" s="132" t="s">
        <v>158</v>
      </c>
      <c r="R22" s="132"/>
      <c r="S22" s="132"/>
      <c r="T22" s="133">
        <v>5.5</v>
      </c>
      <c r="U22" s="133">
        <v>2.4</v>
      </c>
      <c r="V22" s="133">
        <v>36.1</v>
      </c>
      <c r="W22" s="133">
        <v>42.5</v>
      </c>
      <c r="X22" s="133">
        <v>146.30000000000001</v>
      </c>
      <c r="Y22" s="134">
        <v>21.3</v>
      </c>
    </row>
    <row r="23" spans="1:25" ht="18" customHeight="1" x14ac:dyDescent="0.4">
      <c r="A23" s="140">
        <v>849</v>
      </c>
      <c r="B23" s="70">
        <v>20.913240000000002</v>
      </c>
      <c r="C23" s="61">
        <v>13128</v>
      </c>
      <c r="D23" s="105">
        <v>25</v>
      </c>
      <c r="E23" s="73">
        <v>210</v>
      </c>
      <c r="F23" s="73">
        <v>270</v>
      </c>
      <c r="G23" s="108">
        <v>10</v>
      </c>
      <c r="H23" s="108">
        <v>586.18087500000001</v>
      </c>
      <c r="I23" s="73">
        <v>112.7</v>
      </c>
      <c r="J23" s="253">
        <v>3</v>
      </c>
      <c r="K23" s="132" t="s">
        <v>167</v>
      </c>
      <c r="L23" s="132" t="s">
        <v>159</v>
      </c>
      <c r="M23" s="132"/>
      <c r="N23" s="132"/>
      <c r="O23" s="132" t="s">
        <v>158</v>
      </c>
      <c r="P23" s="132"/>
      <c r="Q23" s="132"/>
      <c r="R23" s="132"/>
      <c r="S23" s="132"/>
      <c r="T23" s="133">
        <v>5.6</v>
      </c>
      <c r="U23" s="133">
        <v>1.7</v>
      </c>
      <c r="V23" s="133">
        <v>36.6</v>
      </c>
      <c r="W23" s="133">
        <v>43.3</v>
      </c>
      <c r="X23" s="133">
        <v>148.5</v>
      </c>
      <c r="Y23" s="134">
        <v>22.8</v>
      </c>
    </row>
    <row r="24" spans="1:25" ht="18" customHeight="1" x14ac:dyDescent="0.35">
      <c r="A24" s="140">
        <v>850</v>
      </c>
      <c r="B24" s="70">
        <v>20.970380000000002</v>
      </c>
      <c r="C24" s="61">
        <v>13099</v>
      </c>
      <c r="D24" s="105">
        <v>25</v>
      </c>
      <c r="E24" s="73">
        <v>210</v>
      </c>
      <c r="F24" s="73">
        <v>235</v>
      </c>
      <c r="G24" s="108">
        <v>9.25</v>
      </c>
      <c r="H24" s="108">
        <v>585.24537500000008</v>
      </c>
      <c r="I24" s="73">
        <v>112.9</v>
      </c>
      <c r="J24" s="122">
        <v>2</v>
      </c>
      <c r="K24" s="132" t="s">
        <v>168</v>
      </c>
      <c r="L24" s="132" t="s">
        <v>157</v>
      </c>
      <c r="M24" s="132"/>
      <c r="N24" s="132"/>
      <c r="O24" s="132" t="s">
        <v>158</v>
      </c>
      <c r="P24" s="132"/>
      <c r="Q24" s="132"/>
      <c r="R24" s="132"/>
      <c r="S24" s="132"/>
      <c r="T24" s="133">
        <v>5.8</v>
      </c>
      <c r="U24" s="133">
        <v>2.6</v>
      </c>
      <c r="V24" s="133">
        <v>38.6</v>
      </c>
      <c r="W24" s="133">
        <v>45.4</v>
      </c>
      <c r="X24" s="133">
        <v>155.80000000000001</v>
      </c>
      <c r="Y24" s="134">
        <v>22.5</v>
      </c>
    </row>
    <row r="25" spans="1:25" ht="18" customHeight="1" x14ac:dyDescent="0.35">
      <c r="A25" s="140">
        <v>851</v>
      </c>
      <c r="B25" s="70">
        <v>20.856100000000001</v>
      </c>
      <c r="C25" s="61">
        <v>13140</v>
      </c>
      <c r="D25" s="105">
        <v>25</v>
      </c>
      <c r="E25" s="73">
        <v>210</v>
      </c>
      <c r="F25" s="73">
        <v>240</v>
      </c>
      <c r="G25" s="108">
        <v>9.3000000000000007</v>
      </c>
      <c r="H25" s="108">
        <v>584.68087500000001</v>
      </c>
      <c r="I25" s="73">
        <v>112.9</v>
      </c>
      <c r="J25" s="122">
        <v>2</v>
      </c>
      <c r="K25" s="132" t="s">
        <v>169</v>
      </c>
      <c r="L25" s="132" t="s">
        <v>158</v>
      </c>
      <c r="M25" s="132" t="s">
        <v>159</v>
      </c>
      <c r="N25" s="132"/>
      <c r="O25" s="132" t="s">
        <v>158</v>
      </c>
      <c r="P25" s="132"/>
      <c r="Q25" s="132"/>
      <c r="R25" s="132" t="s">
        <v>158</v>
      </c>
      <c r="S25" s="132"/>
      <c r="T25" s="133">
        <v>5.7</v>
      </c>
      <c r="U25" s="133">
        <v>2.6</v>
      </c>
      <c r="V25" s="133">
        <v>36.1</v>
      </c>
      <c r="W25" s="133">
        <v>42.1</v>
      </c>
      <c r="X25" s="133">
        <v>145.5</v>
      </c>
      <c r="Y25" s="134">
        <v>23.2</v>
      </c>
    </row>
    <row r="26" spans="1:25" ht="18" customHeight="1" x14ac:dyDescent="0.35">
      <c r="A26" s="140">
        <v>852</v>
      </c>
      <c r="B26" s="70">
        <v>20.913240000000002</v>
      </c>
      <c r="C26" s="61">
        <v>13117</v>
      </c>
      <c r="D26" s="105">
        <v>25</v>
      </c>
      <c r="E26" s="73">
        <v>210</v>
      </c>
      <c r="F26" s="73">
        <v>270</v>
      </c>
      <c r="G26" s="108">
        <v>10</v>
      </c>
      <c r="H26" s="108">
        <v>585.00900000000001</v>
      </c>
      <c r="I26" s="73">
        <v>112.8</v>
      </c>
      <c r="J26" s="122">
        <v>2</v>
      </c>
      <c r="K26" s="132" t="s">
        <v>66</v>
      </c>
      <c r="L26" s="132" t="s">
        <v>157</v>
      </c>
      <c r="M26" s="132" t="s">
        <v>157</v>
      </c>
      <c r="N26" s="132"/>
      <c r="O26" s="132" t="s">
        <v>158</v>
      </c>
      <c r="P26" s="132"/>
      <c r="Q26" s="132"/>
      <c r="R26" s="132"/>
      <c r="S26" s="132"/>
      <c r="T26" s="133">
        <v>5.8</v>
      </c>
      <c r="U26" s="133">
        <v>2.6</v>
      </c>
      <c r="V26" s="133">
        <v>37.299999999999997</v>
      </c>
      <c r="W26" s="133">
        <v>43.5</v>
      </c>
      <c r="X26" s="133">
        <v>150.30000000000001</v>
      </c>
      <c r="Y26" s="134">
        <v>24.1</v>
      </c>
    </row>
    <row r="27" spans="1:25" ht="18" customHeight="1" x14ac:dyDescent="0.35">
      <c r="A27" s="140">
        <v>853</v>
      </c>
      <c r="B27" s="70">
        <v>20.856100000000001</v>
      </c>
      <c r="C27" s="61">
        <v>13136</v>
      </c>
      <c r="D27" s="105">
        <v>25</v>
      </c>
      <c r="E27" s="73">
        <v>210</v>
      </c>
      <c r="F27" s="73">
        <v>235</v>
      </c>
      <c r="G27" s="108">
        <v>9.25</v>
      </c>
      <c r="H27" s="108">
        <v>586.60349999999994</v>
      </c>
      <c r="I27" s="73">
        <v>112.7</v>
      </c>
      <c r="J27" s="122">
        <v>2</v>
      </c>
      <c r="K27" s="220" t="s">
        <v>171</v>
      </c>
      <c r="L27" s="220" t="s">
        <v>157</v>
      </c>
      <c r="M27" s="135"/>
      <c r="N27" s="135"/>
      <c r="O27" s="135"/>
      <c r="P27" s="220" t="s">
        <v>158</v>
      </c>
      <c r="Q27" s="135"/>
      <c r="R27" s="135"/>
      <c r="S27" s="135"/>
      <c r="T27" s="133">
        <v>5.8</v>
      </c>
      <c r="U27" s="133">
        <v>2.6</v>
      </c>
      <c r="V27" s="133">
        <v>36.299999999999997</v>
      </c>
      <c r="W27" s="133">
        <v>41.8</v>
      </c>
      <c r="X27" s="133">
        <v>148.6</v>
      </c>
      <c r="Y27" s="134">
        <v>21.1</v>
      </c>
    </row>
    <row r="28" spans="1:25" ht="18" customHeight="1" x14ac:dyDescent="0.35">
      <c r="A28" s="140">
        <v>854</v>
      </c>
      <c r="B28" s="70">
        <v>20.913240000000002</v>
      </c>
      <c r="C28" s="61">
        <v>13142</v>
      </c>
      <c r="D28" s="105">
        <v>25</v>
      </c>
      <c r="E28" s="73">
        <v>210</v>
      </c>
      <c r="F28" s="73">
        <v>240</v>
      </c>
      <c r="G28" s="108">
        <v>9.3000000000000007</v>
      </c>
      <c r="H28" s="108">
        <v>585.00974999999994</v>
      </c>
      <c r="I28" s="73">
        <v>113.1</v>
      </c>
      <c r="J28" s="122">
        <v>2</v>
      </c>
      <c r="K28" s="135" t="s">
        <v>67</v>
      </c>
      <c r="L28" s="220" t="s">
        <v>158</v>
      </c>
      <c r="M28" s="220" t="s">
        <v>159</v>
      </c>
      <c r="N28" s="135"/>
      <c r="O28" s="220" t="s">
        <v>159</v>
      </c>
      <c r="P28" s="220" t="s">
        <v>159</v>
      </c>
      <c r="Q28" s="135"/>
      <c r="R28" s="135"/>
      <c r="S28" s="135"/>
      <c r="T28" s="133">
        <v>5.8</v>
      </c>
      <c r="U28" s="133">
        <v>2.6</v>
      </c>
      <c r="V28" s="133">
        <v>36.299999999999997</v>
      </c>
      <c r="W28" s="133">
        <v>41.8</v>
      </c>
      <c r="X28" s="133">
        <v>148.5</v>
      </c>
      <c r="Y28" s="134">
        <v>21</v>
      </c>
    </row>
    <row r="29" spans="1:25" ht="18" customHeight="1" x14ac:dyDescent="0.35">
      <c r="A29" s="140">
        <v>855</v>
      </c>
      <c r="B29" s="70">
        <v>20.62754</v>
      </c>
      <c r="C29" s="61">
        <v>13163</v>
      </c>
      <c r="D29" s="105">
        <v>25</v>
      </c>
      <c r="E29" s="73">
        <v>210</v>
      </c>
      <c r="F29" s="73">
        <v>240</v>
      </c>
      <c r="G29" s="108">
        <v>9.3000000000000007</v>
      </c>
      <c r="H29" s="108">
        <v>585.0575</v>
      </c>
      <c r="I29" s="73">
        <v>113</v>
      </c>
      <c r="J29" s="122">
        <v>2</v>
      </c>
      <c r="K29" s="135" t="s">
        <v>68</v>
      </c>
      <c r="L29" s="220" t="s">
        <v>158</v>
      </c>
      <c r="M29" s="135"/>
      <c r="N29" s="135"/>
      <c r="O29" s="220" t="s">
        <v>158</v>
      </c>
      <c r="P29" s="135"/>
      <c r="Q29" s="220" t="s">
        <v>158</v>
      </c>
      <c r="R29" s="135"/>
      <c r="S29" s="135"/>
      <c r="T29" s="133">
        <v>5.7</v>
      </c>
      <c r="U29" s="133">
        <v>2.5</v>
      </c>
      <c r="V29" s="133">
        <v>35.6</v>
      </c>
      <c r="W29" s="133">
        <v>41</v>
      </c>
      <c r="X29" s="133">
        <v>146.19999999999999</v>
      </c>
      <c r="Y29" s="134">
        <v>20.2</v>
      </c>
    </row>
    <row r="30" spans="1:25" ht="18" customHeight="1" x14ac:dyDescent="0.35">
      <c r="A30" s="140">
        <v>856</v>
      </c>
      <c r="B30" s="70">
        <v>20.856100000000001</v>
      </c>
      <c r="C30" s="61">
        <v>13158</v>
      </c>
      <c r="D30" s="105">
        <v>25</v>
      </c>
      <c r="E30" s="73">
        <v>210</v>
      </c>
      <c r="F30" s="73">
        <v>235</v>
      </c>
      <c r="G30" s="108">
        <v>9.25</v>
      </c>
      <c r="H30" s="108">
        <v>585.24537500000008</v>
      </c>
      <c r="I30" s="73">
        <v>112.9</v>
      </c>
      <c r="J30" s="122">
        <v>2</v>
      </c>
      <c r="K30" s="135" t="s">
        <v>69</v>
      </c>
      <c r="L30" s="220" t="s">
        <v>158</v>
      </c>
      <c r="M30" s="135"/>
      <c r="N30" s="135"/>
      <c r="O30" s="220" t="s">
        <v>158</v>
      </c>
      <c r="P30" s="135"/>
      <c r="Q30" s="135"/>
      <c r="R30" s="220" t="s">
        <v>158</v>
      </c>
      <c r="S30" s="135"/>
      <c r="T30" s="133">
        <v>6.1</v>
      </c>
      <c r="U30" s="133">
        <v>2.8</v>
      </c>
      <c r="V30" s="133">
        <v>37.9</v>
      </c>
      <c r="W30" s="133">
        <v>43.8</v>
      </c>
      <c r="X30" s="133">
        <v>156.30000000000001</v>
      </c>
      <c r="Y30" s="134">
        <v>22.9</v>
      </c>
    </row>
    <row r="31" spans="1:25" ht="18" customHeight="1" x14ac:dyDescent="0.35">
      <c r="A31" s="140">
        <v>857</v>
      </c>
      <c r="B31" s="70">
        <v>20.970380000000002</v>
      </c>
      <c r="C31" s="61">
        <v>13141</v>
      </c>
      <c r="D31" s="105">
        <v>25</v>
      </c>
      <c r="E31" s="73">
        <v>210</v>
      </c>
      <c r="F31" s="73">
        <v>270</v>
      </c>
      <c r="G31" s="108">
        <v>10</v>
      </c>
      <c r="H31" s="108">
        <v>584.8683749999999</v>
      </c>
      <c r="I31" s="73">
        <v>113.1</v>
      </c>
      <c r="J31" s="122">
        <v>2</v>
      </c>
      <c r="K31" s="135" t="s">
        <v>70</v>
      </c>
      <c r="L31" s="220" t="s">
        <v>157</v>
      </c>
      <c r="M31" s="220" t="s">
        <v>158</v>
      </c>
      <c r="N31" s="135"/>
      <c r="O31" s="135"/>
      <c r="P31" s="135"/>
      <c r="Q31" s="135"/>
      <c r="R31" s="135"/>
      <c r="S31" s="135"/>
      <c r="T31" s="133">
        <v>6.1</v>
      </c>
      <c r="U31" s="133">
        <v>2.8</v>
      </c>
      <c r="V31" s="133">
        <v>39.1</v>
      </c>
      <c r="W31" s="133">
        <v>45.4</v>
      </c>
      <c r="X31" s="133">
        <v>157.9</v>
      </c>
      <c r="Y31" s="134">
        <v>25.1</v>
      </c>
    </row>
    <row r="32" spans="1:25" ht="18" customHeight="1" x14ac:dyDescent="0.35">
      <c r="A32" s="140">
        <v>858</v>
      </c>
      <c r="B32" s="70">
        <v>20.856100000000001</v>
      </c>
      <c r="C32" s="61">
        <v>13163</v>
      </c>
      <c r="D32" s="105">
        <v>25</v>
      </c>
      <c r="E32" s="73">
        <v>210</v>
      </c>
      <c r="F32" s="73">
        <v>240</v>
      </c>
      <c r="G32" s="108">
        <v>9.3000000000000007</v>
      </c>
      <c r="H32" s="108">
        <v>585.0575</v>
      </c>
      <c r="I32" s="73">
        <v>113</v>
      </c>
      <c r="J32" s="122">
        <v>2</v>
      </c>
      <c r="K32" s="220" t="s">
        <v>172</v>
      </c>
      <c r="L32" s="220" t="s">
        <v>158</v>
      </c>
      <c r="M32" s="220" t="s">
        <v>158</v>
      </c>
      <c r="N32" s="135"/>
      <c r="O32" s="220" t="s">
        <v>158</v>
      </c>
      <c r="P32" s="135"/>
      <c r="Q32" s="135"/>
      <c r="R32" s="220" t="s">
        <v>158</v>
      </c>
      <c r="S32" s="135"/>
      <c r="T32" s="133">
        <v>6.2</v>
      </c>
      <c r="U32" s="133">
        <v>2.8</v>
      </c>
      <c r="V32" s="133">
        <v>39.299999999999997</v>
      </c>
      <c r="W32" s="133">
        <v>45.6</v>
      </c>
      <c r="X32" s="133">
        <v>158.6</v>
      </c>
      <c r="Y32" s="134">
        <v>25.5</v>
      </c>
    </row>
    <row r="33" spans="1:25" ht="18" customHeight="1" x14ac:dyDescent="0.35">
      <c r="A33" s="140">
        <v>859</v>
      </c>
      <c r="B33" s="70">
        <v>20.913240000000002</v>
      </c>
      <c r="C33" s="61">
        <v>13139</v>
      </c>
      <c r="D33" s="105">
        <v>25</v>
      </c>
      <c r="E33" s="73">
        <v>210</v>
      </c>
      <c r="F33" s="73">
        <v>240</v>
      </c>
      <c r="G33" s="108">
        <v>9.3000000000000007</v>
      </c>
      <c r="H33" s="108">
        <v>585.34</v>
      </c>
      <c r="I33" s="73">
        <v>113</v>
      </c>
      <c r="J33" s="122">
        <v>2</v>
      </c>
      <c r="K33" s="135" t="s">
        <v>71</v>
      </c>
      <c r="L33" s="220" t="s">
        <v>157</v>
      </c>
      <c r="M33" s="220" t="s">
        <v>158</v>
      </c>
      <c r="N33" s="135"/>
      <c r="O33" s="220" t="s">
        <v>157</v>
      </c>
      <c r="P33" s="135"/>
      <c r="Q33" s="135"/>
      <c r="R33" s="135"/>
      <c r="S33" s="135"/>
      <c r="T33" s="133">
        <v>5.8</v>
      </c>
      <c r="U33" s="133">
        <v>2.7</v>
      </c>
      <c r="V33" s="133">
        <v>36.4</v>
      </c>
      <c r="W33" s="133">
        <v>41.9</v>
      </c>
      <c r="X33" s="133">
        <v>150</v>
      </c>
      <c r="Y33" s="134">
        <v>20.6</v>
      </c>
    </row>
    <row r="34" spans="1:25" ht="18" customHeight="1" x14ac:dyDescent="0.4">
      <c r="A34" s="140">
        <v>860</v>
      </c>
      <c r="B34" s="70">
        <v>20.913240000000002</v>
      </c>
      <c r="C34" s="61">
        <v>13157</v>
      </c>
      <c r="D34" s="105">
        <v>25</v>
      </c>
      <c r="E34" s="73">
        <v>210</v>
      </c>
      <c r="F34" s="73">
        <v>240</v>
      </c>
      <c r="G34" s="108">
        <v>9.3000000000000007</v>
      </c>
      <c r="H34" s="108">
        <v>585.66875000000005</v>
      </c>
      <c r="I34" s="73">
        <v>112.9</v>
      </c>
      <c r="J34" s="252">
        <v>4</v>
      </c>
      <c r="K34" s="220" t="s">
        <v>173</v>
      </c>
      <c r="L34" s="135"/>
      <c r="M34" s="135"/>
      <c r="N34" s="135"/>
      <c r="O34" s="220" t="s">
        <v>159</v>
      </c>
      <c r="P34" s="135"/>
      <c r="Q34" s="220" t="s">
        <v>159</v>
      </c>
      <c r="R34" s="135"/>
      <c r="S34" s="135"/>
      <c r="T34" s="133">
        <v>5.8</v>
      </c>
      <c r="U34" s="133">
        <v>2.2999999999999998</v>
      </c>
      <c r="V34" s="133">
        <v>38.799999999999997</v>
      </c>
      <c r="W34" s="133">
        <v>49</v>
      </c>
      <c r="X34" s="133">
        <v>136.4</v>
      </c>
      <c r="Y34" s="134">
        <v>23.2</v>
      </c>
    </row>
    <row r="35" spans="1:25" ht="18" customHeight="1" x14ac:dyDescent="0.35">
      <c r="A35" s="140">
        <v>861</v>
      </c>
      <c r="B35" s="70">
        <v>20.856100000000001</v>
      </c>
      <c r="C35" s="61">
        <v>13142</v>
      </c>
      <c r="D35" s="105">
        <v>25</v>
      </c>
      <c r="E35" s="73">
        <v>210</v>
      </c>
      <c r="F35" s="73">
        <v>270</v>
      </c>
      <c r="G35" s="108">
        <v>10</v>
      </c>
      <c r="H35" s="108">
        <v>585.33562500000005</v>
      </c>
      <c r="I35" s="73">
        <v>112.7</v>
      </c>
      <c r="J35" s="122">
        <v>2</v>
      </c>
      <c r="K35" s="135" t="s">
        <v>72</v>
      </c>
      <c r="L35" s="220" t="s">
        <v>157</v>
      </c>
      <c r="M35" s="220" t="s">
        <v>158</v>
      </c>
      <c r="N35" s="135"/>
      <c r="O35" s="220" t="s">
        <v>157</v>
      </c>
      <c r="P35" s="220" t="s">
        <v>157</v>
      </c>
      <c r="Q35" s="135"/>
      <c r="R35" s="135"/>
      <c r="S35" s="135"/>
      <c r="T35" s="133">
        <v>6.4</v>
      </c>
      <c r="U35" s="133">
        <v>2.6</v>
      </c>
      <c r="V35" s="133">
        <v>43.4</v>
      </c>
      <c r="W35" s="133">
        <v>54.9</v>
      </c>
      <c r="X35" s="133">
        <v>152.1</v>
      </c>
      <c r="Y35" s="134">
        <v>26.5</v>
      </c>
    </row>
    <row r="36" spans="1:25" ht="18" customHeight="1" x14ac:dyDescent="0.35">
      <c r="A36" s="140">
        <v>862</v>
      </c>
      <c r="B36" s="70">
        <v>20.913240000000002</v>
      </c>
      <c r="C36" s="61">
        <v>13140</v>
      </c>
      <c r="D36" s="105">
        <v>25</v>
      </c>
      <c r="E36" s="73">
        <v>210</v>
      </c>
      <c r="F36" s="73">
        <v>250</v>
      </c>
      <c r="G36" s="108">
        <v>9.4</v>
      </c>
      <c r="H36" s="108">
        <v>585.34</v>
      </c>
      <c r="I36" s="73">
        <v>113</v>
      </c>
      <c r="J36" s="122">
        <v>2</v>
      </c>
      <c r="K36" s="135" t="s">
        <v>73</v>
      </c>
      <c r="L36" s="220" t="s">
        <v>157</v>
      </c>
      <c r="M36" s="135"/>
      <c r="N36" s="135"/>
      <c r="O36" s="220" t="s">
        <v>157</v>
      </c>
      <c r="P36" s="135"/>
      <c r="Q36" s="135"/>
      <c r="R36" s="135"/>
      <c r="S36" s="135"/>
      <c r="T36" s="133">
        <v>6.4</v>
      </c>
      <c r="U36" s="133">
        <v>2.5</v>
      </c>
      <c r="V36" s="133">
        <v>42.2</v>
      </c>
      <c r="W36" s="133">
        <v>53.4</v>
      </c>
      <c r="X36" s="133">
        <v>147.69999999999999</v>
      </c>
      <c r="Y36" s="134">
        <v>25.9</v>
      </c>
    </row>
    <row r="37" spans="1:25" ht="18" customHeight="1" x14ac:dyDescent="0.35">
      <c r="A37" s="140">
        <v>863</v>
      </c>
      <c r="B37" s="70">
        <v>20.684680000000004</v>
      </c>
      <c r="C37" s="61">
        <v>13129</v>
      </c>
      <c r="D37" s="105">
        <v>25</v>
      </c>
      <c r="E37" s="73">
        <v>210</v>
      </c>
      <c r="F37" s="73">
        <v>240</v>
      </c>
      <c r="G37" s="108">
        <v>9.3000000000000007</v>
      </c>
      <c r="H37" s="108">
        <v>585.15</v>
      </c>
      <c r="I37" s="73">
        <v>112.8</v>
      </c>
      <c r="J37" s="122">
        <v>2</v>
      </c>
      <c r="K37" s="135" t="s">
        <v>74</v>
      </c>
      <c r="L37" s="220" t="s">
        <v>165</v>
      </c>
      <c r="M37" s="135"/>
      <c r="N37" s="135"/>
      <c r="O37" s="220" t="s">
        <v>158</v>
      </c>
      <c r="P37" s="135"/>
      <c r="Q37" s="135"/>
      <c r="R37" s="135"/>
      <c r="S37" s="135"/>
      <c r="T37" s="133">
        <v>6</v>
      </c>
      <c r="U37" s="133">
        <v>2.5</v>
      </c>
      <c r="V37" s="133">
        <v>40</v>
      </c>
      <c r="W37" s="133">
        <v>50.6</v>
      </c>
      <c r="X37" s="133">
        <v>140.5</v>
      </c>
      <c r="Y37" s="134">
        <v>24.4</v>
      </c>
    </row>
    <row r="38" spans="1:25" ht="18" customHeight="1" x14ac:dyDescent="0.35">
      <c r="A38" s="140">
        <v>864</v>
      </c>
      <c r="B38" s="70">
        <v>20.856100000000001</v>
      </c>
      <c r="C38" s="61">
        <v>13161</v>
      </c>
      <c r="D38" s="105">
        <v>25</v>
      </c>
      <c r="E38" s="73">
        <v>210</v>
      </c>
      <c r="F38" s="73">
        <v>270</v>
      </c>
      <c r="G38" s="108">
        <v>10</v>
      </c>
      <c r="H38" s="108">
        <v>584.72699999999998</v>
      </c>
      <c r="I38" s="73">
        <v>112.8</v>
      </c>
      <c r="J38" s="122">
        <v>2</v>
      </c>
      <c r="K38" s="135" t="s">
        <v>75</v>
      </c>
      <c r="L38" s="220" t="s">
        <v>158</v>
      </c>
      <c r="M38" s="135"/>
      <c r="N38" s="135"/>
      <c r="O38" s="220" t="s">
        <v>158</v>
      </c>
      <c r="P38" s="135"/>
      <c r="Q38" s="135"/>
      <c r="R38" s="135"/>
      <c r="S38" s="135"/>
      <c r="T38" s="133">
        <v>6.3</v>
      </c>
      <c r="U38" s="133">
        <v>2.7</v>
      </c>
      <c r="V38" s="133">
        <v>42.3</v>
      </c>
      <c r="W38" s="133">
        <v>53.5</v>
      </c>
      <c r="X38" s="133">
        <v>149</v>
      </c>
      <c r="Y38" s="134">
        <v>25.8</v>
      </c>
    </row>
    <row r="39" spans="1:25" ht="18" customHeight="1" x14ac:dyDescent="0.35">
      <c r="A39" s="140">
        <v>865</v>
      </c>
      <c r="B39" s="70">
        <v>20.913240000000002</v>
      </c>
      <c r="C39" s="61">
        <v>13142</v>
      </c>
      <c r="D39" s="105">
        <v>25</v>
      </c>
      <c r="E39" s="73">
        <v>210</v>
      </c>
      <c r="F39" s="73">
        <v>240</v>
      </c>
      <c r="G39" s="108">
        <v>9.3000000000000007</v>
      </c>
      <c r="H39" s="108">
        <v>585.0575</v>
      </c>
      <c r="I39" s="73">
        <v>113</v>
      </c>
      <c r="J39" s="122">
        <v>2</v>
      </c>
      <c r="K39" s="220" t="s">
        <v>174</v>
      </c>
      <c r="L39" s="220" t="s">
        <v>157</v>
      </c>
      <c r="M39" s="220" t="s">
        <v>158</v>
      </c>
      <c r="N39" s="135"/>
      <c r="O39" s="220" t="s">
        <v>157</v>
      </c>
      <c r="P39" s="135"/>
      <c r="Q39" s="135"/>
      <c r="R39" s="220" t="s">
        <v>158</v>
      </c>
      <c r="S39" s="135"/>
      <c r="T39" s="133">
        <v>5.6</v>
      </c>
      <c r="U39" s="133">
        <v>2.2999999999999998</v>
      </c>
      <c r="V39" s="133">
        <v>35.5</v>
      </c>
      <c r="W39" s="133">
        <v>40.9</v>
      </c>
      <c r="X39" s="133">
        <v>145.30000000000001</v>
      </c>
      <c r="Y39" s="134">
        <v>20.5</v>
      </c>
    </row>
    <row r="40" spans="1:25" ht="18" customHeight="1" x14ac:dyDescent="0.35">
      <c r="A40" s="140">
        <v>866</v>
      </c>
      <c r="B40" s="70">
        <v>20.62754</v>
      </c>
      <c r="C40" s="61">
        <v>13167</v>
      </c>
      <c r="D40" s="105">
        <v>25</v>
      </c>
      <c r="E40" s="73">
        <v>210</v>
      </c>
      <c r="F40" s="73">
        <v>270</v>
      </c>
      <c r="G40" s="108">
        <v>10</v>
      </c>
      <c r="H40" s="108">
        <v>584.8683749999999</v>
      </c>
      <c r="I40" s="73">
        <v>113.1</v>
      </c>
      <c r="J40" s="122">
        <v>2</v>
      </c>
      <c r="K40" s="135" t="s">
        <v>76</v>
      </c>
      <c r="L40" s="220" t="s">
        <v>158</v>
      </c>
      <c r="M40" s="220" t="s">
        <v>158</v>
      </c>
      <c r="N40" s="220" t="s">
        <v>158</v>
      </c>
      <c r="O40" s="220" t="s">
        <v>158</v>
      </c>
      <c r="P40" s="135"/>
      <c r="Q40" s="220" t="s">
        <v>159</v>
      </c>
      <c r="R40" s="135"/>
      <c r="S40" s="135"/>
      <c r="T40" s="133">
        <v>6.2</v>
      </c>
      <c r="U40" s="133">
        <v>1.5</v>
      </c>
      <c r="V40" s="133">
        <v>39.1</v>
      </c>
      <c r="W40" s="133">
        <v>45.7</v>
      </c>
      <c r="X40" s="133">
        <v>157.80000000000001</v>
      </c>
      <c r="Y40" s="134">
        <v>27.7</v>
      </c>
    </row>
    <row r="41" spans="1:25" ht="18" customHeight="1" x14ac:dyDescent="0.35">
      <c r="A41" s="140">
        <v>867</v>
      </c>
      <c r="B41" s="70">
        <v>20.970380000000002</v>
      </c>
      <c r="C41" s="61">
        <v>13145</v>
      </c>
      <c r="D41" s="105">
        <v>25</v>
      </c>
      <c r="E41" s="73">
        <v>210</v>
      </c>
      <c r="F41" s="73">
        <v>240</v>
      </c>
      <c r="G41" s="108">
        <v>9.3000000000000007</v>
      </c>
      <c r="H41" s="108">
        <v>584.16149999999993</v>
      </c>
      <c r="I41" s="73">
        <v>113.1</v>
      </c>
      <c r="J41" s="122">
        <v>2</v>
      </c>
      <c r="K41" s="135" t="s">
        <v>77</v>
      </c>
      <c r="L41" s="220" t="s">
        <v>157</v>
      </c>
      <c r="M41" s="220" t="s">
        <v>158</v>
      </c>
      <c r="N41" s="135"/>
      <c r="O41" s="220" t="s">
        <v>157</v>
      </c>
      <c r="P41" s="135"/>
      <c r="Q41" s="135"/>
      <c r="R41" s="220" t="s">
        <v>158</v>
      </c>
      <c r="S41" s="135"/>
      <c r="T41" s="133">
        <v>6.3</v>
      </c>
      <c r="U41" s="133">
        <v>2.6</v>
      </c>
      <c r="V41" s="133">
        <v>41.8</v>
      </c>
      <c r="W41" s="133">
        <v>52.4</v>
      </c>
      <c r="X41" s="133">
        <v>150.5</v>
      </c>
      <c r="Y41" s="134">
        <v>26.5</v>
      </c>
    </row>
    <row r="42" spans="1:25" ht="18" customHeight="1" x14ac:dyDescent="0.35">
      <c r="A42" s="140">
        <v>868</v>
      </c>
      <c r="B42" s="70">
        <v>20.913240000000002</v>
      </c>
      <c r="C42" s="61">
        <v>13151</v>
      </c>
      <c r="D42" s="105">
        <v>25</v>
      </c>
      <c r="E42" s="73">
        <v>210</v>
      </c>
      <c r="F42" s="73">
        <v>270</v>
      </c>
      <c r="G42" s="108">
        <v>9.4</v>
      </c>
      <c r="H42" s="108">
        <v>586.18087500000001</v>
      </c>
      <c r="I42" s="73">
        <v>112.7</v>
      </c>
      <c r="J42" s="122">
        <v>2</v>
      </c>
      <c r="K42" s="135" t="s">
        <v>78</v>
      </c>
      <c r="L42" s="220" t="s">
        <v>157</v>
      </c>
      <c r="M42" s="135"/>
      <c r="N42" s="135"/>
      <c r="O42" s="220" t="s">
        <v>158</v>
      </c>
      <c r="P42" s="135"/>
      <c r="Q42" s="135"/>
      <c r="R42" s="135"/>
      <c r="S42" s="135"/>
      <c r="T42" s="133">
        <v>6.2</v>
      </c>
      <c r="U42" s="133">
        <v>2.5</v>
      </c>
      <c r="V42" s="133">
        <v>41.8</v>
      </c>
      <c r="W42" s="133">
        <v>52.1</v>
      </c>
      <c r="X42" s="133">
        <v>150.1</v>
      </c>
      <c r="Y42" s="134">
        <v>25.5</v>
      </c>
    </row>
    <row r="43" spans="1:25" ht="18" customHeight="1" x14ac:dyDescent="0.35">
      <c r="A43" s="140">
        <v>869</v>
      </c>
      <c r="B43" s="70">
        <v>20.970380000000002</v>
      </c>
      <c r="C43" s="61">
        <v>13123</v>
      </c>
      <c r="D43" s="105">
        <v>25</v>
      </c>
      <c r="E43" s="73">
        <v>210</v>
      </c>
      <c r="F43" s="73">
        <v>240</v>
      </c>
      <c r="G43" s="108">
        <v>9.3000000000000007</v>
      </c>
      <c r="H43" s="108">
        <v>585.00900000000001</v>
      </c>
      <c r="I43" s="73">
        <v>112.8</v>
      </c>
      <c r="J43" s="122">
        <v>2</v>
      </c>
      <c r="K43" s="135" t="s">
        <v>79</v>
      </c>
      <c r="L43" s="221" t="s">
        <v>157</v>
      </c>
      <c r="M43" s="135"/>
      <c r="N43" s="135"/>
      <c r="O43" s="221" t="s">
        <v>157</v>
      </c>
      <c r="P43" s="135"/>
      <c r="Q43" s="135"/>
      <c r="R43" s="135"/>
      <c r="S43" s="135"/>
      <c r="T43" s="133">
        <v>6.1</v>
      </c>
      <c r="U43" s="133">
        <v>2.6</v>
      </c>
      <c r="V43" s="133">
        <v>43.3</v>
      </c>
      <c r="W43" s="133">
        <v>52.9</v>
      </c>
      <c r="X43" s="133">
        <v>140.6</v>
      </c>
      <c r="Y43" s="134">
        <v>27.8</v>
      </c>
    </row>
    <row r="44" spans="1:25" ht="18" customHeight="1" x14ac:dyDescent="0.35">
      <c r="A44" s="140">
        <v>870</v>
      </c>
      <c r="B44" s="70">
        <v>20.913240000000002</v>
      </c>
      <c r="C44" s="61">
        <v>13134</v>
      </c>
      <c r="D44" s="105">
        <v>25</v>
      </c>
      <c r="E44" s="73">
        <v>210</v>
      </c>
      <c r="F44" s="73">
        <v>240</v>
      </c>
      <c r="G44" s="108">
        <v>9.3000000000000007</v>
      </c>
      <c r="H44" s="108">
        <v>585.19875000000002</v>
      </c>
      <c r="I44" s="73">
        <v>113</v>
      </c>
      <c r="J44" s="122">
        <v>1</v>
      </c>
      <c r="K44" s="135" t="s">
        <v>80</v>
      </c>
      <c r="L44" s="222" t="s">
        <v>157</v>
      </c>
      <c r="M44" s="222" t="s">
        <v>158</v>
      </c>
      <c r="N44" s="222" t="s">
        <v>158</v>
      </c>
      <c r="O44" s="135"/>
      <c r="P44" s="135"/>
      <c r="Q44" s="135"/>
      <c r="R44" s="135"/>
      <c r="S44" s="135"/>
      <c r="T44" s="133">
        <v>5.8</v>
      </c>
      <c r="U44" s="133">
        <v>2.2999999999999998</v>
      </c>
      <c r="V44" s="133">
        <v>39.200000000000003</v>
      </c>
      <c r="W44" s="133">
        <v>49.5</v>
      </c>
      <c r="X44" s="133">
        <v>137.30000000000001</v>
      </c>
      <c r="Y44" s="134">
        <v>24</v>
      </c>
    </row>
    <row r="45" spans="1:25" ht="18" hidden="1" customHeight="1" x14ac:dyDescent="0.35">
      <c r="A45" s="140">
        <v>871</v>
      </c>
      <c r="B45" s="70">
        <v>20.913240000000002</v>
      </c>
      <c r="C45" s="61">
        <v>13127</v>
      </c>
      <c r="D45" s="105">
        <v>25</v>
      </c>
      <c r="E45" s="73">
        <v>210</v>
      </c>
      <c r="F45" s="73">
        <v>275</v>
      </c>
      <c r="G45" s="108">
        <v>10.15</v>
      </c>
      <c r="H45" s="108">
        <v>585.00974999999994</v>
      </c>
      <c r="I45" s="73">
        <v>113.1</v>
      </c>
      <c r="J45" s="122">
        <v>2</v>
      </c>
      <c r="K45" s="135" t="s">
        <v>81</v>
      </c>
      <c r="L45" s="135"/>
      <c r="M45" s="135"/>
      <c r="N45" s="135"/>
      <c r="O45" s="135"/>
      <c r="P45" s="135"/>
      <c r="Q45" s="135"/>
      <c r="R45" s="135"/>
      <c r="S45" s="135"/>
      <c r="T45" s="133">
        <v>6.5</v>
      </c>
      <c r="U45" s="133">
        <v>2.4</v>
      </c>
      <c r="V45" s="133">
        <v>43.8</v>
      </c>
      <c r="W45" s="133">
        <v>55.7</v>
      </c>
      <c r="X45" s="133">
        <v>154.19999999999999</v>
      </c>
      <c r="Y45" s="134">
        <v>27.8</v>
      </c>
    </row>
    <row r="46" spans="1:25" ht="18" hidden="1" customHeight="1" x14ac:dyDescent="0.35">
      <c r="A46" s="140">
        <v>872</v>
      </c>
      <c r="B46" s="70">
        <v>20.684680000000004</v>
      </c>
      <c r="C46" s="61">
        <v>13133</v>
      </c>
      <c r="D46" s="105">
        <v>25</v>
      </c>
      <c r="E46" s="73">
        <v>210</v>
      </c>
      <c r="F46" s="73">
        <v>250</v>
      </c>
      <c r="G46" s="108">
        <v>9.4</v>
      </c>
      <c r="H46" s="108">
        <v>585.00900000000001</v>
      </c>
      <c r="I46" s="73">
        <v>112.8</v>
      </c>
      <c r="J46" s="122">
        <v>2</v>
      </c>
      <c r="K46" s="135" t="s">
        <v>82</v>
      </c>
      <c r="L46" s="135"/>
      <c r="M46" s="135"/>
      <c r="N46" s="135"/>
      <c r="O46" s="135"/>
      <c r="P46" s="135"/>
      <c r="Q46" s="135"/>
      <c r="R46" s="135"/>
      <c r="S46" s="135"/>
      <c r="T46" s="133">
        <v>6.2</v>
      </c>
      <c r="U46" s="133">
        <v>2.5</v>
      </c>
      <c r="V46" s="133">
        <v>41.9</v>
      </c>
      <c r="W46" s="133">
        <v>52.9</v>
      </c>
      <c r="X46" s="133">
        <v>147.30000000000001</v>
      </c>
      <c r="Y46" s="134">
        <v>25.6</v>
      </c>
    </row>
    <row r="47" spans="1:25" ht="18" hidden="1" customHeight="1" x14ac:dyDescent="0.35">
      <c r="A47" s="140">
        <v>873</v>
      </c>
      <c r="B47" s="70">
        <v>20.913240000000002</v>
      </c>
      <c r="C47" s="61">
        <v>13137</v>
      </c>
      <c r="D47" s="105">
        <v>25</v>
      </c>
      <c r="E47" s="73">
        <v>210</v>
      </c>
      <c r="F47" s="73">
        <v>270</v>
      </c>
      <c r="G47" s="108">
        <v>10</v>
      </c>
      <c r="H47" s="108">
        <v>585.0575</v>
      </c>
      <c r="I47" s="73">
        <v>113</v>
      </c>
      <c r="J47" s="122">
        <v>2</v>
      </c>
      <c r="K47" s="135" t="s">
        <v>64</v>
      </c>
      <c r="L47" s="135"/>
      <c r="M47" s="135"/>
      <c r="N47" s="135"/>
      <c r="O47" s="135"/>
      <c r="P47" s="135"/>
      <c r="Q47" s="135"/>
      <c r="R47" s="135"/>
      <c r="S47" s="135"/>
      <c r="T47" s="133">
        <v>6.3</v>
      </c>
      <c r="U47" s="133">
        <v>2.7</v>
      </c>
      <c r="V47" s="133">
        <v>44.6</v>
      </c>
      <c r="W47" s="133">
        <v>54.4</v>
      </c>
      <c r="X47" s="133">
        <v>145</v>
      </c>
      <c r="Y47" s="134">
        <v>28.7</v>
      </c>
    </row>
    <row r="48" spans="1:25" ht="18" hidden="1" customHeight="1" x14ac:dyDescent="0.35">
      <c r="A48" s="140">
        <v>874</v>
      </c>
      <c r="B48" s="70">
        <v>20.856100000000001</v>
      </c>
      <c r="C48" s="61">
        <v>13139</v>
      </c>
      <c r="D48" s="105">
        <v>25</v>
      </c>
      <c r="E48" s="73">
        <v>210</v>
      </c>
      <c r="F48" s="73">
        <v>240</v>
      </c>
      <c r="G48" s="108">
        <v>9.3000000000000007</v>
      </c>
      <c r="H48" s="108">
        <v>585.57299999999998</v>
      </c>
      <c r="I48" s="73">
        <v>112.8</v>
      </c>
      <c r="J48" s="122">
        <v>2</v>
      </c>
      <c r="K48" s="135" t="s">
        <v>83</v>
      </c>
      <c r="L48" s="135"/>
      <c r="M48" s="135"/>
      <c r="N48" s="135"/>
      <c r="O48" s="135"/>
      <c r="P48" s="135"/>
      <c r="Q48" s="135"/>
      <c r="R48" s="135"/>
      <c r="S48" s="135"/>
      <c r="T48" s="133">
        <v>6.3</v>
      </c>
      <c r="U48" s="133">
        <v>2.5</v>
      </c>
      <c r="V48" s="133">
        <v>43.5</v>
      </c>
      <c r="W48" s="133">
        <v>53.4</v>
      </c>
      <c r="X48" s="133">
        <v>141.30000000000001</v>
      </c>
      <c r="Y48" s="134">
        <v>27.6</v>
      </c>
    </row>
    <row r="49" spans="1:25" ht="18" hidden="1" customHeight="1" x14ac:dyDescent="0.35">
      <c r="A49" s="140">
        <v>875</v>
      </c>
      <c r="B49" s="70">
        <v>20.913240000000002</v>
      </c>
      <c r="C49" s="61">
        <v>13167</v>
      </c>
      <c r="D49" s="105">
        <v>25</v>
      </c>
      <c r="E49" s="73">
        <v>210</v>
      </c>
      <c r="F49" s="73">
        <v>275</v>
      </c>
      <c r="G49" s="108">
        <v>10.15</v>
      </c>
      <c r="H49" s="108">
        <v>585.0575</v>
      </c>
      <c r="I49" s="73">
        <v>113</v>
      </c>
      <c r="J49" s="122">
        <v>2</v>
      </c>
      <c r="K49" s="135" t="s">
        <v>84</v>
      </c>
      <c r="L49" s="135"/>
      <c r="M49" s="135"/>
      <c r="N49" s="135"/>
      <c r="O49" s="135"/>
      <c r="P49" s="135"/>
      <c r="Q49" s="135"/>
      <c r="R49" s="135"/>
      <c r="S49" s="135"/>
      <c r="T49" s="133">
        <v>5.8</v>
      </c>
      <c r="U49" s="133">
        <v>2.2000000000000002</v>
      </c>
      <c r="V49" s="133">
        <v>38.9</v>
      </c>
      <c r="W49" s="133">
        <v>49.4</v>
      </c>
      <c r="X49" s="133">
        <v>136.5</v>
      </c>
      <c r="Y49" s="134">
        <v>23.3</v>
      </c>
    </row>
    <row r="50" spans="1:25" ht="18" hidden="1" customHeight="1" x14ac:dyDescent="0.35">
      <c r="A50" s="140">
        <v>876</v>
      </c>
      <c r="B50" s="70">
        <v>20.62754</v>
      </c>
      <c r="C50" s="61">
        <v>13145</v>
      </c>
      <c r="D50" s="105">
        <v>25</v>
      </c>
      <c r="E50" s="73">
        <v>210</v>
      </c>
      <c r="F50" s="73">
        <v>275</v>
      </c>
      <c r="G50" s="108">
        <v>10.15</v>
      </c>
      <c r="H50" s="108">
        <v>585.24537500000008</v>
      </c>
      <c r="I50" s="73">
        <v>112.9</v>
      </c>
      <c r="J50" s="122">
        <v>2</v>
      </c>
      <c r="K50" s="135" t="s">
        <v>85</v>
      </c>
      <c r="L50" s="135"/>
      <c r="M50" s="135"/>
      <c r="N50" s="135"/>
      <c r="O50" s="135"/>
      <c r="P50" s="135"/>
      <c r="Q50" s="135"/>
      <c r="R50" s="135"/>
      <c r="S50" s="135"/>
      <c r="T50" s="133">
        <v>6.5</v>
      </c>
      <c r="U50" s="133">
        <v>2.6</v>
      </c>
      <c r="V50" s="133">
        <v>43.6</v>
      </c>
      <c r="W50" s="133">
        <v>55.1</v>
      </c>
      <c r="X50" s="133">
        <v>153.19999999999999</v>
      </c>
      <c r="Y50" s="134">
        <v>25.6</v>
      </c>
    </row>
    <row r="51" spans="1:25" ht="18" hidden="1" customHeight="1" x14ac:dyDescent="0.35">
      <c r="A51" s="140">
        <v>877</v>
      </c>
      <c r="B51" s="70">
        <v>20.970380000000002</v>
      </c>
      <c r="C51" s="61">
        <v>13151</v>
      </c>
      <c r="D51" s="105">
        <v>25</v>
      </c>
      <c r="E51" s="73">
        <v>210</v>
      </c>
      <c r="F51" s="73">
        <v>270</v>
      </c>
      <c r="G51" s="108">
        <v>10</v>
      </c>
      <c r="H51" s="108">
        <v>585.34</v>
      </c>
      <c r="I51" s="73">
        <v>113</v>
      </c>
      <c r="J51" s="122">
        <v>2</v>
      </c>
      <c r="K51" s="135" t="s">
        <v>86</v>
      </c>
      <c r="L51" s="135"/>
      <c r="M51" s="135"/>
      <c r="N51" s="135"/>
      <c r="O51" s="135"/>
      <c r="P51" s="135"/>
      <c r="Q51" s="135"/>
      <c r="R51" s="135"/>
      <c r="S51" s="135"/>
      <c r="T51" s="133">
        <v>6.3</v>
      </c>
      <c r="U51" s="133">
        <v>2.4</v>
      </c>
      <c r="V51" s="133">
        <v>41.6</v>
      </c>
      <c r="W51" s="133">
        <v>52.9</v>
      </c>
      <c r="X51" s="133">
        <v>146.69999999999999</v>
      </c>
      <c r="Y51" s="134">
        <v>25.9</v>
      </c>
    </row>
    <row r="52" spans="1:25" ht="18" hidden="1" customHeight="1" x14ac:dyDescent="0.35">
      <c r="A52" s="140">
        <v>878</v>
      </c>
      <c r="B52" s="70">
        <v>20.913240000000002</v>
      </c>
      <c r="C52" s="61">
        <v>13118</v>
      </c>
      <c r="D52" s="105">
        <v>25</v>
      </c>
      <c r="E52" s="73">
        <v>210</v>
      </c>
      <c r="F52" s="73">
        <v>250</v>
      </c>
      <c r="G52" s="108">
        <v>9.4</v>
      </c>
      <c r="H52" s="108">
        <v>585.66875000000005</v>
      </c>
      <c r="I52" s="73">
        <v>112.9</v>
      </c>
      <c r="J52" s="122">
        <v>2</v>
      </c>
      <c r="K52" s="135" t="s">
        <v>87</v>
      </c>
      <c r="L52" s="135"/>
      <c r="M52" s="135"/>
      <c r="N52" s="135"/>
      <c r="O52" s="135"/>
      <c r="P52" s="135"/>
      <c r="Q52" s="135"/>
      <c r="R52" s="135"/>
      <c r="S52" s="135"/>
      <c r="T52" s="133">
        <v>6.3</v>
      </c>
      <c r="U52" s="133">
        <v>2.7</v>
      </c>
      <c r="V52" s="133">
        <v>44.7</v>
      </c>
      <c r="W52" s="133">
        <v>54.6</v>
      </c>
      <c r="X52" s="133">
        <v>145.6</v>
      </c>
      <c r="Y52" s="134">
        <v>27.7</v>
      </c>
    </row>
    <row r="53" spans="1:25" ht="18" hidden="1" customHeight="1" x14ac:dyDescent="0.35">
      <c r="A53" s="140">
        <v>879</v>
      </c>
      <c r="B53" s="70">
        <v>20.970380000000002</v>
      </c>
      <c r="C53" s="61">
        <v>13127</v>
      </c>
      <c r="D53" s="105">
        <v>25</v>
      </c>
      <c r="E53" s="73">
        <v>210</v>
      </c>
      <c r="F53" s="73">
        <v>240</v>
      </c>
      <c r="G53" s="108">
        <v>9.3000000000000007</v>
      </c>
      <c r="H53" s="108">
        <v>584.96312499999999</v>
      </c>
      <c r="I53" s="73">
        <v>112.9</v>
      </c>
      <c r="J53" s="122">
        <v>2</v>
      </c>
      <c r="K53" s="135" t="s">
        <v>88</v>
      </c>
      <c r="L53" s="135"/>
      <c r="M53" s="135"/>
      <c r="N53" s="135"/>
      <c r="O53" s="135"/>
      <c r="P53" s="135"/>
      <c r="Q53" s="135"/>
      <c r="R53" s="135"/>
      <c r="S53" s="135"/>
      <c r="T53" s="133">
        <v>5.9</v>
      </c>
      <c r="U53" s="133">
        <v>2.2999999999999998</v>
      </c>
      <c r="V53" s="133">
        <v>40.1</v>
      </c>
      <c r="W53" s="133">
        <v>48.9</v>
      </c>
      <c r="X53" s="133">
        <v>155.19999999999999</v>
      </c>
      <c r="Y53" s="134">
        <v>28.1</v>
      </c>
    </row>
    <row r="54" spans="1:25" ht="18" hidden="1" customHeight="1" x14ac:dyDescent="0.35">
      <c r="A54" s="140">
        <v>447</v>
      </c>
      <c r="B54" s="70">
        <v>21.19894</v>
      </c>
      <c r="C54" s="61">
        <v>13135</v>
      </c>
      <c r="D54" s="105">
        <v>25</v>
      </c>
      <c r="E54" s="73">
        <v>210</v>
      </c>
      <c r="F54" s="73">
        <v>235</v>
      </c>
      <c r="G54" s="108">
        <v>9.25</v>
      </c>
      <c r="H54" s="108">
        <v>589.39237500000002</v>
      </c>
      <c r="I54" s="73">
        <v>113.7</v>
      </c>
      <c r="J54" s="122">
        <v>2</v>
      </c>
      <c r="K54" s="135" t="s">
        <v>89</v>
      </c>
      <c r="L54" s="135"/>
      <c r="M54" s="135"/>
      <c r="N54" s="135"/>
      <c r="O54" s="135"/>
      <c r="P54" s="135"/>
      <c r="Q54" s="135"/>
      <c r="R54" s="135"/>
      <c r="S54" s="135"/>
      <c r="T54" s="133">
        <v>8</v>
      </c>
      <c r="U54" s="113">
        <v>1.9</v>
      </c>
      <c r="V54" s="113">
        <v>48.5</v>
      </c>
      <c r="W54" s="113">
        <v>61.4</v>
      </c>
      <c r="X54" s="113">
        <v>162.30000000000001</v>
      </c>
      <c r="Y54" s="121">
        <v>56.7</v>
      </c>
    </row>
    <row r="55" spans="1:25" ht="18" hidden="1" customHeight="1" x14ac:dyDescent="0.35">
      <c r="A55" s="140">
        <v>448</v>
      </c>
      <c r="B55" s="70">
        <v>21.19894</v>
      </c>
      <c r="C55" s="61">
        <v>13091</v>
      </c>
      <c r="D55" s="105">
        <v>25</v>
      </c>
      <c r="E55" s="73">
        <v>210</v>
      </c>
      <c r="F55" s="73">
        <v>280</v>
      </c>
      <c r="G55" s="108">
        <v>11</v>
      </c>
      <c r="H55" s="108">
        <v>587.73799999999994</v>
      </c>
      <c r="I55" s="73">
        <v>113.6</v>
      </c>
      <c r="J55" s="122">
        <v>1</v>
      </c>
      <c r="K55" s="135" t="s">
        <v>90</v>
      </c>
      <c r="L55" s="135"/>
      <c r="M55" s="135"/>
      <c r="N55" s="135"/>
      <c r="O55" s="135"/>
      <c r="P55" s="135"/>
      <c r="Q55" s="135"/>
      <c r="R55" s="135"/>
      <c r="S55" s="135"/>
      <c r="T55" s="113">
        <v>7.4</v>
      </c>
      <c r="U55" s="113">
        <v>1.7</v>
      </c>
      <c r="V55" s="113">
        <v>40.6</v>
      </c>
      <c r="W55" s="113">
        <v>46.9</v>
      </c>
      <c r="X55" s="113">
        <v>126.9</v>
      </c>
      <c r="Y55" s="121">
        <v>57.2</v>
      </c>
    </row>
    <row r="56" spans="1:25" ht="18" hidden="1" customHeight="1" x14ac:dyDescent="0.35">
      <c r="A56" s="140">
        <v>449</v>
      </c>
      <c r="B56" s="70">
        <v>21.19894</v>
      </c>
      <c r="C56" s="61">
        <v>13139</v>
      </c>
      <c r="D56" s="105">
        <v>25</v>
      </c>
      <c r="E56" s="73">
        <v>210</v>
      </c>
      <c r="F56" s="73">
        <v>240</v>
      </c>
      <c r="G56" s="108">
        <v>9.3000000000000007</v>
      </c>
      <c r="H56" s="108">
        <v>588.26250000000005</v>
      </c>
      <c r="I56" s="73">
        <v>113.4</v>
      </c>
      <c r="J56" s="122">
        <v>2</v>
      </c>
      <c r="K56" s="135" t="s">
        <v>91</v>
      </c>
      <c r="L56" s="135"/>
      <c r="M56" s="135"/>
      <c r="N56" s="135"/>
      <c r="O56" s="135"/>
      <c r="P56" s="135"/>
      <c r="Q56" s="135"/>
      <c r="R56" s="135"/>
      <c r="S56" s="135"/>
      <c r="T56" s="113">
        <v>6.7</v>
      </c>
      <c r="U56" s="113">
        <v>1.6</v>
      </c>
      <c r="V56" s="113">
        <v>37.1</v>
      </c>
      <c r="W56" s="113">
        <v>42.9</v>
      </c>
      <c r="X56" s="113">
        <v>115.9</v>
      </c>
      <c r="Y56" s="121">
        <v>52.5</v>
      </c>
    </row>
    <row r="57" spans="1:25" ht="18" hidden="1" customHeight="1" x14ac:dyDescent="0.35">
      <c r="A57" s="140">
        <v>450</v>
      </c>
      <c r="B57" s="70">
        <v>21.1418</v>
      </c>
      <c r="C57" s="61">
        <v>13133</v>
      </c>
      <c r="D57" s="105">
        <v>25</v>
      </c>
      <c r="E57" s="73">
        <v>210</v>
      </c>
      <c r="F57" s="73">
        <v>240</v>
      </c>
      <c r="G57" s="108">
        <v>9.3000000000000007</v>
      </c>
      <c r="H57" s="108">
        <v>588.57825000000003</v>
      </c>
      <c r="I57" s="73">
        <v>113.9</v>
      </c>
      <c r="J57" s="122">
        <v>2</v>
      </c>
      <c r="K57" s="135" t="s">
        <v>92</v>
      </c>
      <c r="L57" s="135"/>
      <c r="M57" s="135"/>
      <c r="N57" s="135"/>
      <c r="O57" s="135"/>
      <c r="P57" s="135"/>
      <c r="Q57" s="135"/>
      <c r="R57" s="135"/>
      <c r="S57" s="135"/>
      <c r="T57" s="113">
        <v>7.6</v>
      </c>
      <c r="U57" s="113">
        <v>1.9</v>
      </c>
      <c r="V57" s="113">
        <v>41.2</v>
      </c>
      <c r="W57" s="113">
        <v>47.6</v>
      </c>
      <c r="X57" s="113">
        <v>128.80000000000001</v>
      </c>
      <c r="Y57" s="121">
        <v>58.3</v>
      </c>
    </row>
    <row r="58" spans="1:25" ht="18" hidden="1" customHeight="1" x14ac:dyDescent="0.35">
      <c r="A58" s="140">
        <v>451</v>
      </c>
      <c r="B58" s="70">
        <v>20.913240000000002</v>
      </c>
      <c r="C58" s="61">
        <v>13142</v>
      </c>
      <c r="D58" s="105">
        <v>25</v>
      </c>
      <c r="E58" s="73">
        <v>210</v>
      </c>
      <c r="F58" s="73">
        <v>270</v>
      </c>
      <c r="G58" s="108">
        <v>10</v>
      </c>
      <c r="H58" s="108">
        <v>588.07187499999998</v>
      </c>
      <c r="I58" s="73">
        <v>113.5</v>
      </c>
      <c r="J58" s="122">
        <v>2</v>
      </c>
      <c r="K58" s="135" t="s">
        <v>93</v>
      </c>
      <c r="L58" s="135"/>
      <c r="M58" s="135"/>
      <c r="N58" s="135"/>
      <c r="O58" s="135"/>
      <c r="P58" s="135"/>
      <c r="Q58" s="135"/>
      <c r="R58" s="135"/>
      <c r="S58" s="135"/>
      <c r="T58" s="113">
        <v>7.7</v>
      </c>
      <c r="U58" s="113">
        <v>1.7</v>
      </c>
      <c r="V58" s="113">
        <v>39.9</v>
      </c>
      <c r="W58" s="113">
        <v>47.1</v>
      </c>
      <c r="X58" s="113">
        <v>138.4</v>
      </c>
      <c r="Y58" s="121">
        <v>64.099999999999994</v>
      </c>
    </row>
    <row r="59" spans="1:25" ht="18" hidden="1" customHeight="1" x14ac:dyDescent="0.35">
      <c r="A59" s="140">
        <v>452</v>
      </c>
      <c r="B59" s="70">
        <v>21.19894</v>
      </c>
      <c r="C59" s="61">
        <v>13126</v>
      </c>
      <c r="D59" s="105">
        <v>25</v>
      </c>
      <c r="E59" s="73">
        <v>210</v>
      </c>
      <c r="F59" s="73">
        <v>240</v>
      </c>
      <c r="G59" s="108">
        <v>9.3000000000000007</v>
      </c>
      <c r="H59" s="108">
        <v>588.30600000000004</v>
      </c>
      <c r="I59" s="73">
        <v>113.6</v>
      </c>
      <c r="J59" s="122">
        <v>2</v>
      </c>
      <c r="K59" s="135" t="s">
        <v>94</v>
      </c>
      <c r="L59" s="135"/>
      <c r="M59" s="135"/>
      <c r="N59" s="135"/>
      <c r="O59" s="135"/>
      <c r="P59" s="135"/>
      <c r="Q59" s="135"/>
      <c r="R59" s="135"/>
      <c r="S59" s="135"/>
      <c r="T59" s="113">
        <v>7.5</v>
      </c>
      <c r="U59" s="113">
        <v>1.8</v>
      </c>
      <c r="V59" s="113">
        <v>41.4</v>
      </c>
      <c r="W59" s="113">
        <v>47.9</v>
      </c>
      <c r="X59" s="113">
        <v>129.6</v>
      </c>
      <c r="Y59" s="134">
        <v>58</v>
      </c>
    </row>
    <row r="60" spans="1:25" ht="18" hidden="1" customHeight="1" x14ac:dyDescent="0.35">
      <c r="A60" s="140">
        <v>453</v>
      </c>
      <c r="B60" s="70">
        <v>20.970380000000002</v>
      </c>
      <c r="C60" s="61">
        <v>13118</v>
      </c>
      <c r="D60" s="105">
        <v>25</v>
      </c>
      <c r="E60" s="73">
        <v>210</v>
      </c>
      <c r="F60" s="73">
        <v>230</v>
      </c>
      <c r="G60" s="108">
        <v>9</v>
      </c>
      <c r="H60" s="108">
        <v>588.11324999999999</v>
      </c>
      <c r="I60" s="73">
        <v>113.7</v>
      </c>
      <c r="J60" s="122">
        <v>2</v>
      </c>
      <c r="K60" s="135" t="s">
        <v>95</v>
      </c>
      <c r="L60" s="135"/>
      <c r="M60" s="135"/>
      <c r="N60" s="135"/>
      <c r="O60" s="135"/>
      <c r="P60" s="135"/>
      <c r="Q60" s="135"/>
      <c r="R60" s="135"/>
      <c r="S60" s="135"/>
      <c r="T60" s="113">
        <v>8.1</v>
      </c>
      <c r="U60" s="113">
        <v>1.8</v>
      </c>
      <c r="V60" s="113">
        <v>36.6</v>
      </c>
      <c r="W60" s="113">
        <v>42</v>
      </c>
      <c r="X60" s="113">
        <v>113.2</v>
      </c>
      <c r="Y60" s="121">
        <v>60.8</v>
      </c>
    </row>
    <row r="61" spans="1:25" ht="18" hidden="1" customHeight="1" x14ac:dyDescent="0.35">
      <c r="A61" s="140">
        <v>454</v>
      </c>
      <c r="B61" s="70">
        <v>20.913240000000002</v>
      </c>
      <c r="C61" s="61">
        <v>13139</v>
      </c>
      <c r="D61" s="105">
        <v>25</v>
      </c>
      <c r="E61" s="73">
        <v>210</v>
      </c>
      <c r="F61" s="73">
        <v>235</v>
      </c>
      <c r="G61" s="108">
        <v>9.3000000000000007</v>
      </c>
      <c r="H61" s="108">
        <v>588.29350000000011</v>
      </c>
      <c r="I61" s="73">
        <v>113.9</v>
      </c>
      <c r="J61" s="122">
        <v>2</v>
      </c>
      <c r="K61" s="135" t="s">
        <v>96</v>
      </c>
      <c r="L61" s="135"/>
      <c r="M61" s="135"/>
      <c r="N61" s="135"/>
      <c r="O61" s="135"/>
      <c r="P61" s="135"/>
      <c r="Q61" s="135"/>
      <c r="R61" s="135"/>
      <c r="S61" s="135"/>
      <c r="T61" s="133">
        <v>8.1999999999999993</v>
      </c>
      <c r="U61" s="133">
        <v>1.9</v>
      </c>
      <c r="V61" s="133">
        <v>36.9</v>
      </c>
      <c r="W61" s="133">
        <v>42.3</v>
      </c>
      <c r="X61" s="133">
        <v>114.6</v>
      </c>
      <c r="Y61" s="134">
        <v>61.5</v>
      </c>
    </row>
    <row r="62" spans="1:25" ht="18" hidden="1" customHeight="1" x14ac:dyDescent="0.35">
      <c r="A62" s="140">
        <v>455</v>
      </c>
      <c r="B62" s="70">
        <v>21.19894</v>
      </c>
      <c r="C62" s="61">
        <v>13134</v>
      </c>
      <c r="D62" s="105">
        <v>25</v>
      </c>
      <c r="E62" s="73">
        <v>210</v>
      </c>
      <c r="F62" s="73">
        <v>235</v>
      </c>
      <c r="G62" s="108">
        <v>9.3000000000000007</v>
      </c>
      <c r="H62" s="108">
        <v>587.06574999999998</v>
      </c>
      <c r="I62" s="73">
        <v>113.8</v>
      </c>
      <c r="J62" s="122">
        <v>1</v>
      </c>
      <c r="K62" s="135" t="s">
        <v>97</v>
      </c>
      <c r="L62" s="135"/>
      <c r="M62" s="135"/>
      <c r="N62" s="135"/>
      <c r="O62" s="135"/>
      <c r="P62" s="135"/>
      <c r="Q62" s="135"/>
      <c r="R62" s="135"/>
      <c r="S62" s="135"/>
      <c r="T62" s="133">
        <v>8.3000000000000007</v>
      </c>
      <c r="U62" s="133">
        <v>2</v>
      </c>
      <c r="V62" s="133">
        <v>36.9</v>
      </c>
      <c r="W62" s="133">
        <v>42.3</v>
      </c>
      <c r="X62" s="133">
        <v>114.5</v>
      </c>
      <c r="Y62" s="134">
        <v>61.4</v>
      </c>
    </row>
    <row r="63" spans="1:25" ht="18" hidden="1" customHeight="1" x14ac:dyDescent="0.35">
      <c r="A63" s="140">
        <v>456</v>
      </c>
      <c r="B63" s="70">
        <v>20.913240000000002</v>
      </c>
      <c r="C63" s="61">
        <v>13140</v>
      </c>
      <c r="D63" s="105">
        <v>25</v>
      </c>
      <c r="E63" s="73">
        <v>210</v>
      </c>
      <c r="F63" s="73">
        <v>240</v>
      </c>
      <c r="G63" s="108">
        <v>10</v>
      </c>
      <c r="H63" s="108">
        <v>587.97112500000003</v>
      </c>
      <c r="I63" s="73">
        <v>113.7</v>
      </c>
      <c r="J63" s="122">
        <v>2</v>
      </c>
      <c r="K63" s="135" t="s">
        <v>98</v>
      </c>
      <c r="L63" s="135"/>
      <c r="M63" s="135"/>
      <c r="N63" s="135"/>
      <c r="O63" s="135"/>
      <c r="P63" s="135"/>
      <c r="Q63" s="135"/>
      <c r="R63" s="135"/>
      <c r="S63" s="135"/>
      <c r="T63" s="133">
        <v>8.3000000000000007</v>
      </c>
      <c r="U63" s="133">
        <v>1.3</v>
      </c>
      <c r="V63" s="133">
        <v>36.9</v>
      </c>
      <c r="W63" s="133">
        <v>42.4</v>
      </c>
      <c r="X63" s="133">
        <v>114.7</v>
      </c>
      <c r="Y63" s="134">
        <v>61.2</v>
      </c>
    </row>
    <row r="64" spans="1:25" ht="18" hidden="1" customHeight="1" x14ac:dyDescent="0.35">
      <c r="A64" s="140">
        <v>457</v>
      </c>
      <c r="B64" s="70">
        <v>20.913240000000002</v>
      </c>
      <c r="C64" s="61">
        <v>13136</v>
      </c>
      <c r="D64" s="105">
        <v>25</v>
      </c>
      <c r="E64" s="73">
        <v>210</v>
      </c>
      <c r="F64" s="73">
        <v>235</v>
      </c>
      <c r="G64" s="108">
        <v>9.3000000000000007</v>
      </c>
      <c r="H64" s="108">
        <v>587.43925000000002</v>
      </c>
      <c r="I64" s="73">
        <v>113.9</v>
      </c>
      <c r="J64" s="122">
        <v>2</v>
      </c>
      <c r="K64" s="135" t="s">
        <v>99</v>
      </c>
      <c r="L64" s="135"/>
      <c r="M64" s="135"/>
      <c r="N64" s="135"/>
      <c r="O64" s="135"/>
      <c r="P64" s="135"/>
      <c r="Q64" s="135"/>
      <c r="R64" s="135"/>
      <c r="S64" s="135"/>
      <c r="T64" s="133">
        <v>8</v>
      </c>
      <c r="U64" s="133">
        <v>1.4</v>
      </c>
      <c r="V64" s="133">
        <v>42.4</v>
      </c>
      <c r="W64" s="133">
        <v>50.7</v>
      </c>
      <c r="X64" s="133">
        <v>133.6</v>
      </c>
      <c r="Y64" s="134">
        <v>53.3</v>
      </c>
    </row>
    <row r="65" spans="1:25" ht="18" hidden="1" customHeight="1" x14ac:dyDescent="0.35">
      <c r="A65" s="140">
        <v>458</v>
      </c>
      <c r="B65" s="70">
        <v>21.1418</v>
      </c>
      <c r="C65" s="61">
        <v>13139</v>
      </c>
      <c r="D65" s="105">
        <v>25</v>
      </c>
      <c r="E65" s="73">
        <v>210</v>
      </c>
      <c r="F65" s="73">
        <v>240</v>
      </c>
      <c r="G65" s="108">
        <v>9.3000000000000007</v>
      </c>
      <c r="H65" s="108">
        <v>588.06150000000002</v>
      </c>
      <c r="I65" s="73">
        <v>113.8</v>
      </c>
      <c r="J65" s="122">
        <v>2</v>
      </c>
      <c r="K65" s="135" t="s">
        <v>100</v>
      </c>
      <c r="L65" s="135"/>
      <c r="M65" s="135"/>
      <c r="N65" s="135"/>
      <c r="O65" s="135"/>
      <c r="P65" s="135"/>
      <c r="Q65" s="135"/>
      <c r="R65" s="135"/>
      <c r="S65" s="135"/>
      <c r="T65" s="133">
        <v>8.1</v>
      </c>
      <c r="U65" s="133">
        <v>1.8</v>
      </c>
      <c r="V65" s="133">
        <v>39</v>
      </c>
      <c r="W65" s="133">
        <v>49.6</v>
      </c>
      <c r="X65" s="133">
        <v>132.19999999999999</v>
      </c>
      <c r="Y65" s="134">
        <v>57.6</v>
      </c>
    </row>
    <row r="66" spans="1:25" ht="18" hidden="1" customHeight="1" x14ac:dyDescent="0.35">
      <c r="A66" s="140">
        <v>459</v>
      </c>
      <c r="B66" s="70">
        <v>20.970380000000002</v>
      </c>
      <c r="C66" s="61">
        <v>13133</v>
      </c>
      <c r="D66" s="105">
        <v>25</v>
      </c>
      <c r="E66" s="73">
        <v>210</v>
      </c>
      <c r="F66" s="73">
        <v>240</v>
      </c>
      <c r="G66" s="108">
        <v>9.3000000000000007</v>
      </c>
      <c r="H66" s="108">
        <v>587.01212499999997</v>
      </c>
      <c r="I66" s="73">
        <v>113.9</v>
      </c>
      <c r="J66" s="122">
        <v>2</v>
      </c>
      <c r="K66" s="135" t="s">
        <v>101</v>
      </c>
      <c r="L66" s="135"/>
      <c r="M66" s="135"/>
      <c r="N66" s="135"/>
      <c r="O66" s="135"/>
      <c r="P66" s="135"/>
      <c r="Q66" s="135"/>
      <c r="R66" s="135"/>
      <c r="S66" s="135"/>
      <c r="T66" s="133">
        <v>8.1999999999999993</v>
      </c>
      <c r="U66" s="133">
        <v>1.7</v>
      </c>
      <c r="V66" s="133">
        <v>41.4</v>
      </c>
      <c r="W66" s="133">
        <v>52.8</v>
      </c>
      <c r="X66" s="133">
        <v>141.80000000000001</v>
      </c>
      <c r="Y66" s="134">
        <v>61.2</v>
      </c>
    </row>
    <row r="67" spans="1:25" ht="18" hidden="1" customHeight="1" x14ac:dyDescent="0.35">
      <c r="A67" s="140">
        <v>460</v>
      </c>
      <c r="B67" s="70">
        <v>20.913240000000002</v>
      </c>
      <c r="C67" s="61">
        <v>13137</v>
      </c>
      <c r="D67" s="105">
        <v>25</v>
      </c>
      <c r="E67" s="73">
        <v>210</v>
      </c>
      <c r="F67" s="73">
        <v>230</v>
      </c>
      <c r="G67" s="108">
        <v>9</v>
      </c>
      <c r="H67" s="108">
        <v>588.25537499999996</v>
      </c>
      <c r="I67" s="73">
        <v>113.7</v>
      </c>
      <c r="J67" s="122">
        <v>2</v>
      </c>
      <c r="K67" s="135" t="s">
        <v>102</v>
      </c>
      <c r="L67" s="135"/>
      <c r="M67" s="135"/>
      <c r="N67" s="135"/>
      <c r="O67" s="135"/>
      <c r="P67" s="135"/>
      <c r="Q67" s="135"/>
      <c r="R67" s="135"/>
      <c r="S67" s="135"/>
      <c r="T67" s="133">
        <v>8.4</v>
      </c>
      <c r="U67" s="133">
        <v>1.8</v>
      </c>
      <c r="V67" s="133">
        <v>42.9</v>
      </c>
      <c r="W67" s="133">
        <v>54.9</v>
      </c>
      <c r="X67" s="133">
        <v>147</v>
      </c>
      <c r="Y67" s="134">
        <v>63.4</v>
      </c>
    </row>
    <row r="68" spans="1:25" ht="18" hidden="1" customHeight="1" x14ac:dyDescent="0.35">
      <c r="A68" s="140">
        <v>461</v>
      </c>
      <c r="B68" s="70">
        <v>21.19894</v>
      </c>
      <c r="C68" s="61">
        <v>13124</v>
      </c>
      <c r="D68" s="105">
        <v>25</v>
      </c>
      <c r="E68" s="73">
        <v>210</v>
      </c>
      <c r="F68" s="73">
        <v>270</v>
      </c>
      <c r="G68" s="108">
        <v>10</v>
      </c>
      <c r="H68" s="108">
        <v>588.44799999999998</v>
      </c>
      <c r="I68" s="73">
        <v>113.6</v>
      </c>
      <c r="J68" s="122">
        <v>2</v>
      </c>
      <c r="K68" s="135" t="s">
        <v>103</v>
      </c>
      <c r="L68" s="135"/>
      <c r="M68" s="135"/>
      <c r="N68" s="135"/>
      <c r="O68" s="135"/>
      <c r="P68" s="135"/>
      <c r="Q68" s="135"/>
      <c r="R68" s="135"/>
      <c r="S68" s="135"/>
      <c r="T68" s="133">
        <v>8.4</v>
      </c>
      <c r="U68" s="133">
        <v>1.8</v>
      </c>
      <c r="V68" s="133">
        <v>43.1</v>
      </c>
      <c r="W68" s="133">
        <v>55</v>
      </c>
      <c r="X68" s="133">
        <v>147.30000000000001</v>
      </c>
      <c r="Y68" s="134">
        <v>64</v>
      </c>
    </row>
    <row r="69" spans="1:25" ht="18" hidden="1" customHeight="1" x14ac:dyDescent="0.35">
      <c r="A69" s="140">
        <v>462</v>
      </c>
      <c r="B69" s="70">
        <v>20.913240000000002</v>
      </c>
      <c r="C69" s="61">
        <v>13118</v>
      </c>
      <c r="D69" s="105">
        <v>25</v>
      </c>
      <c r="E69" s="73">
        <v>210</v>
      </c>
      <c r="F69" s="73">
        <v>240</v>
      </c>
      <c r="G69" s="108">
        <v>9.3000000000000007</v>
      </c>
      <c r="H69" s="108">
        <v>588.29350000000011</v>
      </c>
      <c r="I69" s="73">
        <v>113.9</v>
      </c>
      <c r="J69" s="122">
        <v>2</v>
      </c>
      <c r="K69" s="135" t="s">
        <v>104</v>
      </c>
      <c r="L69" s="135"/>
      <c r="M69" s="135"/>
      <c r="N69" s="135"/>
      <c r="O69" s="135"/>
      <c r="P69" s="135"/>
      <c r="Q69" s="135"/>
      <c r="R69" s="135"/>
      <c r="S69" s="135"/>
      <c r="T69" s="133">
        <v>8.3000000000000007</v>
      </c>
      <c r="U69" s="133">
        <v>1.8</v>
      </c>
      <c r="V69" s="133">
        <v>43</v>
      </c>
      <c r="W69" s="133">
        <v>54.9</v>
      </c>
      <c r="X69" s="133">
        <v>146.80000000000001</v>
      </c>
      <c r="Y69" s="134">
        <v>63.7</v>
      </c>
    </row>
    <row r="70" spans="1:25" ht="18" hidden="1" customHeight="1" x14ac:dyDescent="0.35">
      <c r="A70" s="140">
        <v>463</v>
      </c>
      <c r="B70" s="70">
        <v>20.856100000000001</v>
      </c>
      <c r="C70" s="61">
        <v>13145</v>
      </c>
      <c r="D70" s="105">
        <v>25</v>
      </c>
      <c r="E70" s="73">
        <v>210</v>
      </c>
      <c r="F70" s="73">
        <v>235</v>
      </c>
      <c r="G70" s="108">
        <v>9.25</v>
      </c>
      <c r="H70" s="108">
        <v>587.58162500000003</v>
      </c>
      <c r="I70" s="73">
        <v>113.9</v>
      </c>
      <c r="J70" s="122">
        <v>2</v>
      </c>
      <c r="K70" s="135" t="s">
        <v>105</v>
      </c>
      <c r="L70" s="135"/>
      <c r="M70" s="135"/>
      <c r="N70" s="135"/>
      <c r="O70" s="135"/>
      <c r="P70" s="135"/>
      <c r="Q70" s="135"/>
      <c r="R70" s="135"/>
      <c r="S70" s="135"/>
      <c r="T70" s="133">
        <v>8.5</v>
      </c>
      <c r="U70" s="133">
        <v>0.9</v>
      </c>
      <c r="V70" s="133">
        <v>37.5</v>
      </c>
      <c r="W70" s="133">
        <v>49</v>
      </c>
      <c r="X70" s="133">
        <v>129.6</v>
      </c>
      <c r="Y70" s="134">
        <v>53.6</v>
      </c>
    </row>
    <row r="71" spans="1:25" ht="18" hidden="1" customHeight="1" x14ac:dyDescent="0.35">
      <c r="A71" s="140">
        <v>464</v>
      </c>
      <c r="B71" s="70">
        <v>21.19894</v>
      </c>
      <c r="C71" s="61">
        <v>13134</v>
      </c>
      <c r="D71" s="105">
        <v>25</v>
      </c>
      <c r="E71" s="73">
        <v>210</v>
      </c>
      <c r="F71" s="73">
        <v>240</v>
      </c>
      <c r="G71" s="108">
        <v>9.3000000000000007</v>
      </c>
      <c r="H71" s="108">
        <v>588.11324999999999</v>
      </c>
      <c r="I71" s="73">
        <v>113.7</v>
      </c>
      <c r="J71" s="122">
        <v>3</v>
      </c>
      <c r="K71" s="135" t="s">
        <v>106</v>
      </c>
      <c r="L71" s="135"/>
      <c r="M71" s="135"/>
      <c r="N71" s="135"/>
      <c r="O71" s="135"/>
      <c r="P71" s="135"/>
      <c r="Q71" s="135"/>
      <c r="R71" s="135"/>
      <c r="S71" s="135"/>
      <c r="T71" s="133">
        <v>8.6</v>
      </c>
      <c r="U71" s="133">
        <v>1.4</v>
      </c>
      <c r="V71" s="133">
        <v>38</v>
      </c>
      <c r="W71" s="133">
        <v>49.4</v>
      </c>
      <c r="X71" s="133">
        <v>131.1</v>
      </c>
      <c r="Y71" s="134">
        <v>54</v>
      </c>
    </row>
    <row r="72" spans="1:25" ht="18" hidden="1" customHeight="1" x14ac:dyDescent="0.35">
      <c r="A72" s="140">
        <v>465</v>
      </c>
      <c r="B72" s="70">
        <v>20.970380000000002</v>
      </c>
      <c r="C72" s="61">
        <v>13137</v>
      </c>
      <c r="D72" s="105">
        <v>25</v>
      </c>
      <c r="E72" s="73">
        <v>210</v>
      </c>
      <c r="F72" s="73">
        <v>235</v>
      </c>
      <c r="G72" s="108">
        <v>9.25</v>
      </c>
      <c r="H72" s="108">
        <v>587.77699999999993</v>
      </c>
      <c r="I72" s="73">
        <v>113.8</v>
      </c>
      <c r="J72" s="122">
        <v>1</v>
      </c>
      <c r="K72" s="135" t="s">
        <v>107</v>
      </c>
      <c r="L72" s="135"/>
      <c r="M72" s="135"/>
      <c r="N72" s="135"/>
      <c r="O72" s="135"/>
      <c r="P72" s="135"/>
      <c r="Q72" s="135"/>
      <c r="R72" s="135"/>
      <c r="S72" s="135"/>
      <c r="T72" s="133">
        <v>8.5</v>
      </c>
      <c r="U72" s="133">
        <v>1.4</v>
      </c>
      <c r="V72" s="133">
        <v>38</v>
      </c>
      <c r="W72" s="133">
        <v>49.4</v>
      </c>
      <c r="X72" s="133">
        <v>131.5</v>
      </c>
      <c r="Y72" s="134">
        <v>53.9</v>
      </c>
    </row>
    <row r="73" spans="1:25" ht="18" hidden="1" customHeight="1" x14ac:dyDescent="0.35">
      <c r="A73" s="140">
        <v>466</v>
      </c>
      <c r="B73" s="70">
        <v>20.913240000000002</v>
      </c>
      <c r="C73" s="61">
        <v>13140</v>
      </c>
      <c r="D73" s="105">
        <v>25</v>
      </c>
      <c r="E73" s="73">
        <v>210</v>
      </c>
      <c r="F73" s="73">
        <v>240</v>
      </c>
      <c r="G73" s="108">
        <v>9.3000000000000007</v>
      </c>
      <c r="H73" s="108">
        <v>587.43925000000002</v>
      </c>
      <c r="I73" s="73">
        <v>113.9</v>
      </c>
      <c r="J73" s="122">
        <v>3</v>
      </c>
      <c r="K73" s="135" t="s">
        <v>108</v>
      </c>
      <c r="L73" s="135"/>
      <c r="M73" s="135"/>
      <c r="N73" s="135"/>
      <c r="O73" s="135"/>
      <c r="P73" s="135"/>
      <c r="Q73" s="135"/>
      <c r="R73" s="135"/>
      <c r="S73" s="135"/>
      <c r="T73" s="133">
        <v>8.3000000000000007</v>
      </c>
      <c r="U73" s="133">
        <v>1.1000000000000001</v>
      </c>
      <c r="V73" s="133">
        <v>38.200000000000003</v>
      </c>
      <c r="W73" s="133">
        <v>49.8</v>
      </c>
      <c r="X73" s="133">
        <v>132.1</v>
      </c>
      <c r="Y73" s="134">
        <v>54.3</v>
      </c>
    </row>
    <row r="74" spans="1:25" ht="18" hidden="1" customHeight="1" x14ac:dyDescent="0.35">
      <c r="A74" s="140">
        <v>467</v>
      </c>
      <c r="B74" s="70">
        <v>20.913240000000002</v>
      </c>
      <c r="C74" s="61">
        <v>13136</v>
      </c>
      <c r="D74" s="105">
        <v>25</v>
      </c>
      <c r="E74" s="73">
        <v>210</v>
      </c>
      <c r="F74" s="73">
        <v>240</v>
      </c>
      <c r="G74" s="108">
        <v>9.3000000000000007</v>
      </c>
      <c r="H74" s="108">
        <v>588.48824999999999</v>
      </c>
      <c r="I74" s="73">
        <v>113.8</v>
      </c>
      <c r="J74" s="122">
        <v>2</v>
      </c>
      <c r="K74" s="135" t="s">
        <v>109</v>
      </c>
      <c r="L74" s="135"/>
      <c r="M74" s="135"/>
      <c r="N74" s="135"/>
      <c r="O74" s="135"/>
      <c r="P74" s="135"/>
      <c r="Q74" s="135"/>
      <c r="R74" s="135"/>
      <c r="S74" s="135"/>
      <c r="T74" s="133">
        <v>8.5</v>
      </c>
      <c r="U74" s="133">
        <v>1</v>
      </c>
      <c r="V74" s="133">
        <v>37.4</v>
      </c>
      <c r="W74" s="133">
        <v>48.7</v>
      </c>
      <c r="X74" s="133">
        <v>129</v>
      </c>
      <c r="Y74" s="134">
        <v>52.6</v>
      </c>
    </row>
    <row r="75" spans="1:25" ht="18" hidden="1" customHeight="1" x14ac:dyDescent="0.35">
      <c r="A75" s="140">
        <v>468</v>
      </c>
      <c r="B75" s="70">
        <v>20.970380000000002</v>
      </c>
      <c r="C75" s="61">
        <v>13140</v>
      </c>
      <c r="D75" s="105">
        <v>25</v>
      </c>
      <c r="E75" s="73">
        <v>210</v>
      </c>
      <c r="F75" s="73">
        <v>240</v>
      </c>
      <c r="G75" s="108">
        <v>9.3000000000000007</v>
      </c>
      <c r="H75" s="108">
        <v>588.35562500000003</v>
      </c>
      <c r="I75" s="73">
        <v>113.5</v>
      </c>
      <c r="J75" s="122">
        <v>2</v>
      </c>
      <c r="K75" s="135" t="s">
        <v>110</v>
      </c>
      <c r="L75" s="135"/>
      <c r="M75" s="135"/>
      <c r="N75" s="135"/>
      <c r="O75" s="135"/>
      <c r="P75" s="135"/>
      <c r="Q75" s="135"/>
      <c r="R75" s="135"/>
      <c r="S75" s="135"/>
      <c r="T75" s="133">
        <v>8.3000000000000007</v>
      </c>
      <c r="U75" s="133">
        <v>1.6</v>
      </c>
      <c r="V75" s="133">
        <v>46.3</v>
      </c>
      <c r="W75" s="133">
        <v>42.3</v>
      </c>
      <c r="X75" s="133">
        <v>120.2</v>
      </c>
      <c r="Y75" s="134">
        <v>60.8</v>
      </c>
    </row>
    <row r="76" spans="1:25" ht="18" hidden="1" customHeight="1" x14ac:dyDescent="0.35">
      <c r="A76" s="140">
        <v>469</v>
      </c>
      <c r="B76" s="70">
        <v>21.1418</v>
      </c>
      <c r="C76" s="61">
        <v>13129</v>
      </c>
      <c r="D76" s="105">
        <v>25</v>
      </c>
      <c r="E76" s="73">
        <v>210</v>
      </c>
      <c r="F76" s="73">
        <v>240</v>
      </c>
      <c r="G76" s="108">
        <v>9.3000000000000007</v>
      </c>
      <c r="H76" s="108">
        <v>587.43925000000002</v>
      </c>
      <c r="I76" s="73">
        <v>113.9</v>
      </c>
      <c r="J76" s="122">
        <v>2</v>
      </c>
      <c r="K76" s="135" t="s">
        <v>111</v>
      </c>
      <c r="L76" s="135"/>
      <c r="M76" s="135"/>
      <c r="N76" s="135"/>
      <c r="O76" s="135"/>
      <c r="P76" s="135"/>
      <c r="Q76" s="135"/>
      <c r="R76" s="135"/>
      <c r="S76" s="135"/>
      <c r="T76" s="133">
        <v>8.8000000000000007</v>
      </c>
      <c r="U76" s="133">
        <v>2.1</v>
      </c>
      <c r="V76" s="133">
        <v>46</v>
      </c>
      <c r="W76" s="133">
        <v>42.2</v>
      </c>
      <c r="X76" s="133">
        <v>120.4</v>
      </c>
      <c r="Y76" s="134">
        <v>60.6</v>
      </c>
    </row>
    <row r="77" spans="1:25" ht="18" hidden="1" customHeight="1" x14ac:dyDescent="0.35">
      <c r="A77" s="140">
        <v>470</v>
      </c>
      <c r="B77" s="70">
        <v>20.970380000000002</v>
      </c>
      <c r="C77" s="61">
        <v>13080</v>
      </c>
      <c r="D77" s="105">
        <v>25</v>
      </c>
      <c r="E77" s="73">
        <v>210</v>
      </c>
      <c r="F77" s="73">
        <v>240</v>
      </c>
      <c r="G77" s="108">
        <v>9.3000000000000007</v>
      </c>
      <c r="H77" s="108">
        <v>587.97112500000003</v>
      </c>
      <c r="I77" s="73">
        <v>113.7</v>
      </c>
      <c r="J77" s="122">
        <v>3</v>
      </c>
      <c r="K77" s="135" t="s">
        <v>112</v>
      </c>
      <c r="L77" s="135"/>
      <c r="M77" s="135"/>
      <c r="N77" s="135"/>
      <c r="O77" s="135"/>
      <c r="P77" s="135"/>
      <c r="Q77" s="135"/>
      <c r="R77" s="135"/>
      <c r="S77" s="135"/>
      <c r="T77" s="133">
        <v>8.3000000000000007</v>
      </c>
      <c r="U77" s="133">
        <v>1.9</v>
      </c>
      <c r="V77" s="133">
        <v>42.6</v>
      </c>
      <c r="W77" s="133">
        <v>48.8</v>
      </c>
      <c r="X77" s="133">
        <v>137.69999999999999</v>
      </c>
      <c r="Y77" s="134">
        <v>56.7</v>
      </c>
    </row>
    <row r="78" spans="1:25" ht="18" hidden="1" customHeight="1" x14ac:dyDescent="0.3">
      <c r="A78" s="140">
        <v>476</v>
      </c>
      <c r="B78" s="70">
        <v>20.970380000000002</v>
      </c>
      <c r="C78" s="61">
        <v>13124</v>
      </c>
      <c r="D78" s="105">
        <v>25</v>
      </c>
      <c r="E78" s="73">
        <v>210</v>
      </c>
      <c r="F78" s="73">
        <v>270</v>
      </c>
      <c r="G78" s="108">
        <v>9</v>
      </c>
      <c r="H78" s="108">
        <v>588.06150000000002</v>
      </c>
      <c r="I78" s="73">
        <v>113.8</v>
      </c>
      <c r="J78" s="122">
        <v>2</v>
      </c>
      <c r="K78" s="110"/>
      <c r="L78" s="110"/>
      <c r="M78" s="110"/>
      <c r="N78" s="110"/>
      <c r="O78" s="110"/>
      <c r="P78" s="110"/>
      <c r="Q78" s="110"/>
      <c r="R78" s="110"/>
      <c r="S78" s="110"/>
      <c r="T78" s="133">
        <v>8.6999999999999993</v>
      </c>
      <c r="U78" s="133">
        <v>2.1</v>
      </c>
      <c r="V78" s="133">
        <v>45.2</v>
      </c>
      <c r="W78" s="133">
        <v>54.6</v>
      </c>
      <c r="X78" s="133">
        <v>136.9</v>
      </c>
      <c r="Y78" s="134">
        <v>63.5</v>
      </c>
    </row>
    <row r="79" spans="1:25" ht="18" hidden="1" customHeight="1" x14ac:dyDescent="0.35">
      <c r="A79" s="140">
        <v>477</v>
      </c>
      <c r="B79" s="71">
        <v>20.856100000000001</v>
      </c>
      <c r="C79" s="65">
        <v>13139</v>
      </c>
      <c r="D79" s="107">
        <v>25</v>
      </c>
      <c r="E79" s="79">
        <v>210</v>
      </c>
      <c r="F79" s="79">
        <v>240</v>
      </c>
      <c r="G79" s="109">
        <v>10</v>
      </c>
      <c r="H79" s="109">
        <v>587.92999999999995</v>
      </c>
      <c r="I79" s="79">
        <v>113.5</v>
      </c>
      <c r="J79" s="136">
        <v>2</v>
      </c>
      <c r="K79" s="137" t="s">
        <v>113</v>
      </c>
      <c r="L79" s="137"/>
      <c r="M79" s="137"/>
      <c r="N79" s="137"/>
      <c r="O79" s="137"/>
      <c r="P79" s="137"/>
      <c r="Q79" s="137"/>
      <c r="R79" s="137"/>
      <c r="S79" s="137"/>
      <c r="T79" s="138">
        <v>8.5</v>
      </c>
      <c r="U79" s="138">
        <v>2.1</v>
      </c>
      <c r="V79" s="138">
        <v>45</v>
      </c>
      <c r="W79" s="138">
        <v>54.3</v>
      </c>
      <c r="X79" s="138">
        <v>136.19999999999999</v>
      </c>
      <c r="Y79" s="139">
        <v>62.8</v>
      </c>
    </row>
    <row r="80" spans="1:25" ht="18" customHeight="1" x14ac:dyDescent="0.3">
      <c r="A80" s="22"/>
      <c r="D80" s="15"/>
      <c r="E80" s="15"/>
      <c r="F80" s="15"/>
      <c r="G80" s="20"/>
      <c r="H80" s="23"/>
      <c r="I80" s="20"/>
      <c r="T80" s="15"/>
      <c r="U80" s="15"/>
      <c r="V80" s="15"/>
      <c r="W80" s="15"/>
      <c r="X80" s="15"/>
      <c r="Y80" s="15"/>
    </row>
    <row r="81" spans="1:25" ht="18" customHeight="1" x14ac:dyDescent="0.3">
      <c r="A81" s="22"/>
      <c r="B81" s="56" t="s">
        <v>145</v>
      </c>
      <c r="C81" s="56" t="s">
        <v>146</v>
      </c>
      <c r="D81" s="15"/>
      <c r="E81" s="15"/>
      <c r="F81" s="15"/>
      <c r="G81" s="20"/>
      <c r="H81" s="23"/>
      <c r="I81" s="20"/>
      <c r="T81" s="15"/>
      <c r="U81" s="15"/>
      <c r="V81" s="15"/>
      <c r="W81" s="15"/>
      <c r="X81" s="15"/>
      <c r="Y81" s="15"/>
    </row>
    <row r="82" spans="1:25" ht="18" customHeight="1" x14ac:dyDescent="0.3">
      <c r="A82" s="22"/>
      <c r="B82" s="142" t="s">
        <v>147</v>
      </c>
      <c r="C82" s="142" t="s">
        <v>148</v>
      </c>
      <c r="D82" s="15"/>
      <c r="E82" s="15"/>
      <c r="F82" s="15"/>
      <c r="G82" s="20"/>
      <c r="H82" s="23"/>
      <c r="I82" s="20"/>
      <c r="T82" s="15"/>
      <c r="U82" s="15"/>
      <c r="V82" s="15"/>
      <c r="W82" s="15"/>
      <c r="X82" s="15"/>
      <c r="Y82" s="15"/>
    </row>
    <row r="83" spans="1:25" ht="18" customHeight="1" x14ac:dyDescent="0.3">
      <c r="A83" s="22"/>
      <c r="B83" s="143" t="s">
        <v>149</v>
      </c>
      <c r="C83" s="143" t="s">
        <v>150</v>
      </c>
      <c r="D83" s="15"/>
      <c r="E83" s="15"/>
      <c r="F83" s="15"/>
      <c r="G83" s="20"/>
      <c r="H83" s="23"/>
      <c r="I83" s="20"/>
      <c r="T83" s="15"/>
      <c r="U83" s="15"/>
      <c r="V83" s="15"/>
      <c r="W83" s="15"/>
      <c r="X83" s="15"/>
      <c r="Y83" s="15"/>
    </row>
    <row r="84" spans="1:25" ht="18" customHeight="1" x14ac:dyDescent="0.3">
      <c r="A84" s="22"/>
      <c r="D84" s="15"/>
      <c r="E84" s="15"/>
      <c r="F84" s="15"/>
      <c r="G84" s="20"/>
      <c r="H84" s="23"/>
      <c r="I84" s="20"/>
      <c r="T84" s="15"/>
      <c r="U84" s="15"/>
      <c r="V84" s="15"/>
      <c r="W84" s="15"/>
      <c r="X84" s="15"/>
      <c r="Y84" s="15"/>
    </row>
    <row r="85" spans="1:25" ht="18" customHeight="1" x14ac:dyDescent="0.3">
      <c r="A85" s="22"/>
      <c r="D85" s="15"/>
      <c r="E85" s="15"/>
      <c r="F85" s="15"/>
      <c r="G85" s="20"/>
      <c r="H85" s="23"/>
      <c r="I85" s="20"/>
      <c r="T85" s="15"/>
      <c r="U85" s="15"/>
      <c r="V85" s="15"/>
      <c r="W85" s="15"/>
      <c r="X85" s="15"/>
      <c r="Y85" s="15"/>
    </row>
    <row r="86" spans="1:25" ht="18" customHeight="1" x14ac:dyDescent="0.3">
      <c r="A86" s="22"/>
      <c r="D86" s="15"/>
      <c r="E86" s="15"/>
      <c r="F86" s="15"/>
      <c r="G86" s="20"/>
      <c r="H86" s="23"/>
      <c r="I86" s="20"/>
      <c r="T86" s="15"/>
      <c r="U86" s="15"/>
      <c r="V86" s="15"/>
      <c r="W86" s="15"/>
      <c r="X86" s="15"/>
      <c r="Y86" s="15"/>
    </row>
    <row r="87" spans="1:25" ht="18" customHeight="1" x14ac:dyDescent="0.3">
      <c r="A87" s="22"/>
      <c r="D87" s="15"/>
      <c r="E87" s="15"/>
      <c r="F87" s="15"/>
      <c r="G87" s="20"/>
      <c r="H87" s="23"/>
      <c r="I87" s="20"/>
      <c r="T87" s="15"/>
      <c r="U87" s="15"/>
      <c r="V87" s="15"/>
      <c r="W87" s="15"/>
      <c r="X87" s="15"/>
      <c r="Y87" s="15"/>
    </row>
    <row r="88" spans="1:25" ht="18" customHeight="1" x14ac:dyDescent="0.3">
      <c r="A88" s="22"/>
      <c r="D88" s="15"/>
      <c r="E88" s="15"/>
      <c r="F88" s="15"/>
      <c r="G88" s="20"/>
      <c r="H88" s="23"/>
      <c r="I88" s="20"/>
      <c r="T88" s="15"/>
      <c r="U88" s="15"/>
      <c r="V88" s="15"/>
      <c r="W88" s="15"/>
      <c r="X88" s="15"/>
      <c r="Y88" s="15"/>
    </row>
    <row r="89" spans="1:25" ht="18" customHeight="1" x14ac:dyDescent="0.3">
      <c r="A89" s="22"/>
      <c r="D89" s="15"/>
      <c r="E89" s="15"/>
      <c r="F89" s="15"/>
      <c r="G89" s="20"/>
      <c r="H89" s="23"/>
      <c r="I89" s="20"/>
      <c r="T89" s="15"/>
      <c r="U89" s="15"/>
      <c r="V89" s="15"/>
      <c r="W89" s="15"/>
      <c r="X89" s="15"/>
      <c r="Y89" s="15"/>
    </row>
    <row r="90" spans="1:25" ht="18" customHeight="1" x14ac:dyDescent="0.3">
      <c r="A90" s="22"/>
      <c r="D90" s="15"/>
      <c r="E90" s="15"/>
      <c r="F90" s="15"/>
      <c r="G90" s="20"/>
      <c r="H90" s="23"/>
      <c r="I90" s="20"/>
      <c r="T90" s="15"/>
      <c r="U90" s="15"/>
      <c r="V90" s="15"/>
      <c r="W90" s="15"/>
      <c r="X90" s="15"/>
      <c r="Y90" s="15"/>
    </row>
    <row r="91" spans="1:25" ht="18" customHeight="1" x14ac:dyDescent="0.3">
      <c r="A91" s="22"/>
      <c r="D91" s="15"/>
      <c r="E91" s="15"/>
      <c r="F91" s="15"/>
      <c r="G91" s="20"/>
      <c r="H91" s="23"/>
      <c r="I91" s="20"/>
      <c r="T91" s="15"/>
      <c r="U91" s="15"/>
      <c r="V91" s="15"/>
      <c r="W91" s="15"/>
      <c r="X91" s="15"/>
      <c r="Y91" s="15"/>
    </row>
    <row r="92" spans="1:25" ht="18" customHeight="1" x14ac:dyDescent="0.3">
      <c r="A92" s="22"/>
      <c r="D92" s="15"/>
      <c r="E92" s="15"/>
      <c r="F92" s="15"/>
      <c r="G92" s="20"/>
      <c r="H92" s="23"/>
      <c r="I92" s="20"/>
      <c r="T92" s="15"/>
      <c r="U92" s="15"/>
      <c r="V92" s="15"/>
      <c r="W92" s="15"/>
      <c r="X92" s="15"/>
      <c r="Y92" s="15"/>
    </row>
    <row r="93" spans="1:25" ht="18" customHeight="1" x14ac:dyDescent="0.3">
      <c r="A93" s="22"/>
      <c r="D93" s="15"/>
      <c r="E93" s="15"/>
      <c r="F93" s="15"/>
      <c r="G93" s="20"/>
      <c r="H93" s="23"/>
      <c r="I93" s="20"/>
      <c r="T93" s="15"/>
      <c r="U93" s="15"/>
      <c r="V93" s="15"/>
      <c r="W93" s="15"/>
      <c r="X93" s="15"/>
      <c r="Y93" s="15"/>
    </row>
    <row r="94" spans="1:25" ht="18" customHeight="1" x14ac:dyDescent="0.3">
      <c r="D94" s="15"/>
      <c r="E94" s="15"/>
      <c r="F94" s="15"/>
      <c r="G94" s="20"/>
      <c r="H94" s="23"/>
      <c r="I94" s="20"/>
      <c r="T94" s="15"/>
      <c r="U94" s="15"/>
      <c r="V94" s="15"/>
      <c r="W94" s="15"/>
      <c r="X94" s="15"/>
      <c r="Y94" s="15"/>
    </row>
    <row r="95" spans="1:25" ht="18" customHeight="1" x14ac:dyDescent="0.3">
      <c r="D95" s="15"/>
      <c r="E95" s="15"/>
      <c r="F95" s="15"/>
      <c r="G95" s="20"/>
      <c r="H95" s="23"/>
      <c r="I95" s="20"/>
      <c r="T95" s="15"/>
      <c r="U95" s="15"/>
      <c r="V95" s="15"/>
      <c r="W95" s="15"/>
      <c r="X95" s="15"/>
      <c r="Y95" s="15"/>
    </row>
    <row r="96" spans="1:25" ht="18" customHeight="1" x14ac:dyDescent="0.3">
      <c r="D96" s="15"/>
      <c r="E96" s="15"/>
      <c r="F96" s="15"/>
      <c r="G96" s="15"/>
      <c r="H96" s="23"/>
      <c r="I96" s="20"/>
      <c r="T96" s="15"/>
      <c r="U96" s="15"/>
      <c r="V96" s="15"/>
      <c r="W96" s="15"/>
      <c r="X96" s="15"/>
      <c r="Y96" s="15"/>
    </row>
    <row r="97" spans="4:25" ht="18" customHeight="1" x14ac:dyDescent="0.3">
      <c r="D97" s="15"/>
      <c r="E97" s="15"/>
      <c r="F97" s="15"/>
      <c r="G97" s="15"/>
      <c r="H97" s="23"/>
      <c r="I97" s="20"/>
      <c r="T97" s="15"/>
      <c r="U97" s="15"/>
      <c r="V97" s="15"/>
      <c r="W97" s="15"/>
      <c r="X97" s="15"/>
      <c r="Y97" s="15"/>
    </row>
    <row r="98" spans="4:25" ht="18" customHeight="1" x14ac:dyDescent="0.3">
      <c r="D98" s="15"/>
      <c r="E98" s="15"/>
      <c r="F98" s="15"/>
      <c r="G98" s="15"/>
      <c r="H98" s="23"/>
      <c r="I98" s="15"/>
      <c r="T98" s="15"/>
      <c r="U98" s="15"/>
      <c r="V98" s="15"/>
      <c r="W98" s="15"/>
      <c r="X98" s="15"/>
      <c r="Y98" s="15"/>
    </row>
    <row r="99" spans="4:25" ht="18" customHeight="1" x14ac:dyDescent="0.3">
      <c r="D99" s="15"/>
      <c r="E99" s="15"/>
      <c r="F99" s="15"/>
      <c r="G99" s="15"/>
      <c r="H99" s="15"/>
      <c r="I99" s="15"/>
      <c r="T99" s="15"/>
      <c r="U99" s="15"/>
      <c r="V99" s="15"/>
      <c r="W99" s="15"/>
      <c r="X99" s="15"/>
      <c r="Y99" s="15"/>
    </row>
    <row r="100" spans="4:25" ht="18" customHeight="1" x14ac:dyDescent="0.3">
      <c r="D100" s="15"/>
      <c r="E100" s="15"/>
      <c r="F100" s="15"/>
      <c r="G100" s="15"/>
      <c r="H100" s="15"/>
      <c r="I100" s="15"/>
      <c r="T100" s="15"/>
      <c r="U100" s="15"/>
      <c r="V100" s="15"/>
      <c r="W100" s="15"/>
      <c r="X100" s="15"/>
      <c r="Y100" s="15"/>
    </row>
    <row r="101" spans="4:25" ht="18" customHeight="1" x14ac:dyDescent="0.3">
      <c r="D101" s="15"/>
      <c r="E101" s="15"/>
      <c r="F101" s="15"/>
      <c r="G101" s="15"/>
      <c r="H101" s="15"/>
      <c r="I101" s="15"/>
      <c r="T101" s="15"/>
      <c r="U101" s="15"/>
      <c r="V101" s="15"/>
      <c r="W101" s="15"/>
      <c r="X101" s="15"/>
      <c r="Y101" s="15"/>
    </row>
    <row r="102" spans="4:25" ht="18" customHeight="1" x14ac:dyDescent="0.3">
      <c r="D102" s="15"/>
      <c r="E102" s="15"/>
      <c r="F102" s="15"/>
      <c r="G102" s="15"/>
      <c r="H102" s="15"/>
      <c r="I102" s="15"/>
      <c r="T102" s="15"/>
      <c r="U102" s="15"/>
      <c r="V102" s="15"/>
      <c r="W102" s="15"/>
      <c r="X102" s="15"/>
      <c r="Y102" s="15"/>
    </row>
    <row r="103" spans="4:25" ht="18" customHeight="1" x14ac:dyDescent="0.3">
      <c r="D103" s="15"/>
      <c r="E103" s="15"/>
      <c r="F103" s="15"/>
      <c r="G103" s="15"/>
      <c r="H103" s="15"/>
      <c r="I103" s="15"/>
      <c r="T103" s="15"/>
      <c r="U103" s="15"/>
      <c r="V103" s="15"/>
      <c r="W103" s="15"/>
      <c r="X103" s="15"/>
      <c r="Y103" s="15"/>
    </row>
    <row r="104" spans="4:25" ht="18" customHeight="1" x14ac:dyDescent="0.3">
      <c r="D104" s="15"/>
      <c r="E104" s="15"/>
      <c r="F104" s="15"/>
      <c r="G104" s="15"/>
      <c r="H104" s="15"/>
      <c r="I104" s="15"/>
      <c r="T104" s="15"/>
      <c r="U104" s="15"/>
      <c r="V104" s="15"/>
      <c r="W104" s="15"/>
      <c r="X104" s="15"/>
      <c r="Y104" s="15"/>
    </row>
    <row r="105" spans="4:25" ht="18" customHeight="1" x14ac:dyDescent="0.3">
      <c r="D105" s="15"/>
      <c r="E105" s="15"/>
      <c r="F105" s="15"/>
      <c r="G105" s="15"/>
      <c r="H105" s="15"/>
      <c r="I105" s="15"/>
      <c r="T105" s="15"/>
      <c r="U105" s="15"/>
      <c r="V105" s="15"/>
      <c r="W105" s="15"/>
      <c r="X105" s="15"/>
      <c r="Y105" s="15"/>
    </row>
    <row r="106" spans="4:25" ht="18" customHeight="1" x14ac:dyDescent="0.3">
      <c r="D106" s="15"/>
      <c r="E106" s="15"/>
      <c r="F106" s="15"/>
      <c r="G106" s="15"/>
      <c r="H106" s="15"/>
      <c r="I106" s="15"/>
      <c r="T106" s="15"/>
      <c r="U106" s="15"/>
      <c r="V106" s="15"/>
      <c r="W106" s="15"/>
      <c r="X106" s="15"/>
      <c r="Y106" s="15"/>
    </row>
    <row r="107" spans="4:25" ht="18" customHeight="1" x14ac:dyDescent="0.3">
      <c r="D107" s="15"/>
      <c r="E107" s="15"/>
      <c r="F107" s="15"/>
      <c r="G107" s="15"/>
      <c r="H107" s="15"/>
      <c r="I107" s="15"/>
      <c r="T107" s="15"/>
      <c r="U107" s="15"/>
      <c r="V107" s="15"/>
      <c r="W107" s="15"/>
      <c r="X107" s="15"/>
      <c r="Y107" s="15"/>
    </row>
    <row r="108" spans="4:25" ht="18" customHeight="1" x14ac:dyDescent="0.3">
      <c r="D108" s="15"/>
      <c r="E108" s="15"/>
      <c r="F108" s="15"/>
      <c r="G108" s="15"/>
      <c r="H108" s="15"/>
      <c r="I108" s="15"/>
      <c r="T108" s="15"/>
      <c r="U108" s="15"/>
      <c r="V108" s="15"/>
      <c r="W108" s="15"/>
      <c r="X108" s="15"/>
      <c r="Y108" s="15"/>
    </row>
    <row r="109" spans="4:25" x14ac:dyDescent="0.3">
      <c r="D109" s="15"/>
      <c r="E109" s="15"/>
      <c r="F109" s="15"/>
      <c r="G109" s="15"/>
      <c r="H109" s="15"/>
      <c r="I109" s="15"/>
      <c r="T109" s="15"/>
      <c r="U109" s="15"/>
      <c r="V109" s="15"/>
      <c r="W109" s="15"/>
      <c r="X109" s="15"/>
      <c r="Y109" s="15"/>
    </row>
    <row r="110" spans="4:25" x14ac:dyDescent="0.3">
      <c r="D110" s="15"/>
      <c r="E110" s="15"/>
      <c r="F110" s="15"/>
      <c r="G110" s="15"/>
      <c r="H110" s="15"/>
      <c r="I110" s="15"/>
      <c r="T110" s="15"/>
      <c r="U110" s="15"/>
      <c r="V110" s="15"/>
      <c r="W110" s="15"/>
      <c r="X110" s="15"/>
      <c r="Y110" s="15"/>
    </row>
    <row r="111" spans="4:25" x14ac:dyDescent="0.3">
      <c r="D111" s="15"/>
      <c r="E111" s="15"/>
      <c r="F111" s="15"/>
      <c r="G111" s="15"/>
      <c r="H111" s="15"/>
      <c r="I111" s="15"/>
      <c r="T111" s="15"/>
      <c r="U111" s="15"/>
      <c r="V111" s="15"/>
      <c r="W111" s="15"/>
      <c r="X111" s="15"/>
      <c r="Y111" s="15"/>
    </row>
    <row r="112" spans="4:25" x14ac:dyDescent="0.3">
      <c r="D112" s="15"/>
      <c r="E112" s="15"/>
      <c r="F112" s="15"/>
      <c r="G112" s="15"/>
      <c r="H112" s="15"/>
      <c r="I112" s="15"/>
      <c r="T112" s="15"/>
      <c r="U112" s="15"/>
      <c r="V112" s="15"/>
      <c r="W112" s="15"/>
      <c r="X112" s="15"/>
      <c r="Y112" s="15"/>
    </row>
    <row r="113" spans="4:25" x14ac:dyDescent="0.3">
      <c r="D113" s="15"/>
      <c r="E113" s="15"/>
      <c r="F113" s="15"/>
      <c r="G113" s="15"/>
      <c r="H113" s="15"/>
      <c r="I113" s="15"/>
      <c r="T113" s="15"/>
      <c r="U113" s="15"/>
      <c r="V113" s="15"/>
      <c r="W113" s="15"/>
      <c r="X113" s="15"/>
      <c r="Y113" s="15"/>
    </row>
    <row r="114" spans="4:25" x14ac:dyDescent="0.3">
      <c r="D114" s="15"/>
      <c r="E114" s="15"/>
      <c r="F114" s="15"/>
      <c r="G114" s="15"/>
      <c r="H114" s="15"/>
      <c r="I114" s="15"/>
      <c r="T114" s="15"/>
      <c r="U114" s="15"/>
      <c r="V114" s="15"/>
      <c r="W114" s="15"/>
      <c r="X114" s="15"/>
      <c r="Y114" s="15"/>
    </row>
    <row r="115" spans="4:25" x14ac:dyDescent="0.3">
      <c r="D115" s="15"/>
      <c r="E115" s="15"/>
      <c r="F115" s="15"/>
      <c r="G115" s="15"/>
      <c r="H115" s="15"/>
      <c r="I115" s="15"/>
      <c r="T115" s="15"/>
      <c r="U115" s="15"/>
      <c r="V115" s="15"/>
      <c r="W115" s="15"/>
      <c r="X115" s="15"/>
      <c r="Y115" s="15"/>
    </row>
    <row r="116" spans="4:25" x14ac:dyDescent="0.3">
      <c r="D116" s="15"/>
      <c r="E116" s="15"/>
      <c r="F116" s="15"/>
      <c r="G116" s="15"/>
      <c r="H116" s="15"/>
      <c r="I116" s="15"/>
      <c r="T116" s="15"/>
      <c r="U116" s="15"/>
      <c r="V116" s="15"/>
      <c r="W116" s="15"/>
      <c r="X116" s="15"/>
      <c r="Y116" s="15"/>
    </row>
    <row r="117" spans="4:25" x14ac:dyDescent="0.3">
      <c r="D117" s="15"/>
      <c r="E117" s="15"/>
      <c r="F117" s="15"/>
      <c r="G117" s="15"/>
      <c r="H117" s="15"/>
      <c r="I117" s="15"/>
      <c r="T117" s="15"/>
      <c r="U117" s="15"/>
      <c r="V117" s="15"/>
      <c r="W117" s="15"/>
      <c r="X117" s="15"/>
      <c r="Y117" s="15"/>
    </row>
    <row r="118" spans="4:25" x14ac:dyDescent="0.3">
      <c r="D118" s="15"/>
      <c r="E118" s="15"/>
      <c r="F118" s="15"/>
      <c r="G118" s="15"/>
      <c r="H118" s="15"/>
      <c r="I118" s="15"/>
      <c r="T118" s="15"/>
      <c r="U118" s="15"/>
      <c r="V118" s="15"/>
      <c r="W118" s="15"/>
      <c r="X118" s="15"/>
      <c r="Y118" s="15"/>
    </row>
    <row r="119" spans="4:25" x14ac:dyDescent="0.3">
      <c r="D119" s="15"/>
      <c r="E119" s="15"/>
      <c r="F119" s="15"/>
      <c r="G119" s="15"/>
      <c r="H119" s="15"/>
      <c r="I119" s="15"/>
      <c r="T119" s="15"/>
      <c r="U119" s="15"/>
      <c r="V119" s="15"/>
      <c r="W119" s="15"/>
      <c r="X119" s="15"/>
      <c r="Y119" s="15"/>
    </row>
    <row r="120" spans="4:25" x14ac:dyDescent="0.3">
      <c r="D120" s="15"/>
      <c r="E120" s="15"/>
      <c r="F120" s="15"/>
      <c r="G120" s="15"/>
      <c r="H120" s="15"/>
      <c r="I120" s="15"/>
      <c r="T120" s="15"/>
      <c r="U120" s="15"/>
      <c r="V120" s="15"/>
      <c r="W120" s="15"/>
      <c r="X120" s="15"/>
      <c r="Y120" s="15"/>
    </row>
    <row r="121" spans="4:25" x14ac:dyDescent="0.3">
      <c r="D121" s="15"/>
      <c r="E121" s="15"/>
      <c r="F121" s="15"/>
      <c r="G121" s="15"/>
      <c r="H121" s="15"/>
      <c r="I121" s="15"/>
      <c r="T121" s="15"/>
      <c r="U121" s="15"/>
      <c r="V121" s="15"/>
      <c r="W121" s="15"/>
      <c r="X121" s="15"/>
      <c r="Y121" s="15"/>
    </row>
    <row r="122" spans="4:25" x14ac:dyDescent="0.3">
      <c r="D122" s="15"/>
      <c r="E122" s="15"/>
      <c r="F122" s="15"/>
      <c r="G122" s="15"/>
      <c r="H122" s="15"/>
      <c r="I122" s="15"/>
      <c r="T122" s="15"/>
      <c r="U122" s="15"/>
      <c r="V122" s="15"/>
      <c r="W122" s="15"/>
      <c r="X122" s="15"/>
      <c r="Y122" s="15"/>
    </row>
    <row r="123" spans="4:25" x14ac:dyDescent="0.3">
      <c r="D123" s="15"/>
      <c r="E123" s="15"/>
      <c r="F123" s="15"/>
      <c r="G123" s="15"/>
      <c r="H123" s="15"/>
      <c r="I123" s="15"/>
      <c r="T123" s="15"/>
      <c r="U123" s="15"/>
      <c r="V123" s="15"/>
      <c r="W123" s="15"/>
      <c r="X123" s="15"/>
      <c r="Y123" s="15"/>
    </row>
    <row r="124" spans="4:25" x14ac:dyDescent="0.3">
      <c r="D124" s="15"/>
      <c r="E124" s="15"/>
      <c r="F124" s="15"/>
      <c r="G124" s="15"/>
      <c r="H124" s="15"/>
      <c r="I124" s="15"/>
      <c r="T124" s="15"/>
      <c r="U124" s="15"/>
      <c r="V124" s="15"/>
      <c r="W124" s="15"/>
      <c r="X124" s="15"/>
      <c r="Y124" s="15"/>
    </row>
    <row r="125" spans="4:25" x14ac:dyDescent="0.3">
      <c r="D125" s="15"/>
      <c r="E125" s="15"/>
      <c r="F125" s="15"/>
      <c r="G125" s="15"/>
      <c r="H125" s="15"/>
      <c r="I125" s="15"/>
      <c r="T125" s="15"/>
      <c r="U125" s="15"/>
      <c r="V125" s="15"/>
      <c r="W125" s="15"/>
      <c r="X125" s="15"/>
      <c r="Y125" s="15"/>
    </row>
    <row r="126" spans="4:25" x14ac:dyDescent="0.3">
      <c r="D126" s="15"/>
      <c r="E126" s="15"/>
      <c r="F126" s="15"/>
      <c r="G126" s="15"/>
      <c r="H126" s="15"/>
      <c r="I126" s="15"/>
      <c r="T126" s="15"/>
      <c r="U126" s="15"/>
      <c r="V126" s="15"/>
      <c r="W126" s="15"/>
      <c r="X126" s="15"/>
      <c r="Y126" s="15"/>
    </row>
    <row r="127" spans="4:25" x14ac:dyDescent="0.3">
      <c r="D127" s="15"/>
      <c r="E127" s="15"/>
      <c r="F127" s="15"/>
      <c r="G127" s="15"/>
      <c r="H127" s="15"/>
      <c r="I127" s="15"/>
      <c r="T127" s="15"/>
      <c r="U127" s="15"/>
      <c r="V127" s="15"/>
      <c r="W127" s="15"/>
      <c r="X127" s="15"/>
      <c r="Y127" s="15"/>
    </row>
    <row r="128" spans="4:25" x14ac:dyDescent="0.3">
      <c r="D128" s="15"/>
      <c r="E128" s="15"/>
      <c r="F128" s="15"/>
      <c r="G128" s="15"/>
      <c r="H128" s="15"/>
      <c r="I128" s="15"/>
      <c r="T128" s="15"/>
      <c r="U128" s="15"/>
      <c r="V128" s="15"/>
      <c r="W128" s="15"/>
      <c r="X128" s="15"/>
      <c r="Y128" s="15"/>
    </row>
    <row r="129" spans="4:25" x14ac:dyDescent="0.3">
      <c r="D129" s="15"/>
      <c r="E129" s="15"/>
      <c r="F129" s="15"/>
      <c r="G129" s="15"/>
      <c r="H129" s="15"/>
      <c r="I129" s="15"/>
      <c r="T129" s="15"/>
      <c r="U129" s="15"/>
      <c r="V129" s="15"/>
      <c r="W129" s="15"/>
      <c r="X129" s="15"/>
      <c r="Y129" s="15"/>
    </row>
    <row r="130" spans="4:25" x14ac:dyDescent="0.3">
      <c r="D130" s="15"/>
      <c r="E130" s="15"/>
      <c r="F130" s="15"/>
      <c r="G130" s="15"/>
      <c r="H130" s="15"/>
      <c r="I130" s="15"/>
      <c r="T130" s="15"/>
      <c r="U130" s="15"/>
      <c r="V130" s="15"/>
      <c r="W130" s="15"/>
      <c r="X130" s="15"/>
      <c r="Y130" s="15"/>
    </row>
    <row r="131" spans="4:25" x14ac:dyDescent="0.3">
      <c r="D131" s="15"/>
      <c r="E131" s="15"/>
      <c r="F131" s="15"/>
      <c r="G131" s="15"/>
      <c r="H131" s="15"/>
      <c r="I131" s="15"/>
      <c r="T131" s="15"/>
      <c r="U131" s="15"/>
      <c r="V131" s="15"/>
      <c r="W131" s="15"/>
      <c r="X131" s="15"/>
      <c r="Y131" s="15"/>
    </row>
    <row r="132" spans="4:25" x14ac:dyDescent="0.3">
      <c r="D132" s="15"/>
      <c r="E132" s="15"/>
      <c r="F132" s="15"/>
      <c r="G132" s="15"/>
      <c r="H132" s="15"/>
      <c r="I132" s="15"/>
      <c r="T132" s="15"/>
      <c r="U132" s="15"/>
      <c r="V132" s="15"/>
      <c r="W132" s="15"/>
      <c r="X132" s="15"/>
      <c r="Y132" s="15"/>
    </row>
  </sheetData>
  <mergeCells count="3">
    <mergeCell ref="B1:C1"/>
    <mergeCell ref="D1:I1"/>
    <mergeCell ref="J1:Y1"/>
  </mergeCells>
  <pageMargins left="0.7" right="0.7" top="0.75" bottom="0.75" header="0.3" footer="0.3"/>
  <pageSetup orientation="portrait" r:id="rId1"/>
  <headerFooter>
    <oddFooter>&amp;C_x000D_&amp;1#&amp;"Calibri"&amp;15&amp;KA80000 * Highly Confidential *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AE24-87A3-4D56-AC7F-1690E8BD2C7C}">
  <dimension ref="A1:Q132"/>
  <sheetViews>
    <sheetView tabSelected="1" zoomScale="62" zoomScaleNormal="62" workbookViewId="0">
      <selection activeCell="C14" sqref="C14"/>
    </sheetView>
  </sheetViews>
  <sheetFormatPr defaultColWidth="9" defaultRowHeight="14" x14ac:dyDescent="0.3"/>
  <cols>
    <col min="1" max="1" width="20.54296875" style="16" customWidth="1"/>
    <col min="2" max="2" width="19.6328125" style="17" customWidth="1"/>
    <col min="3" max="3" width="83.26953125" style="17" customWidth="1"/>
    <col min="4" max="4" width="16.36328125" style="17" bestFit="1" customWidth="1"/>
    <col min="5" max="11" width="14.6328125" style="17" customWidth="1"/>
    <col min="12" max="17" width="20.54296875" style="21" customWidth="1"/>
    <col min="18" max="16384" width="9" style="17"/>
  </cols>
  <sheetData>
    <row r="1" spans="1:17" s="25" customFormat="1" ht="26.65" customHeight="1" x14ac:dyDescent="0.3">
      <c r="A1" s="164"/>
      <c r="B1" s="248" t="s">
        <v>144</v>
      </c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50"/>
    </row>
    <row r="2" spans="1:17" s="26" customFormat="1" ht="57.75" customHeight="1" thickBot="1" x14ac:dyDescent="0.35">
      <c r="A2" s="165" t="s">
        <v>10</v>
      </c>
      <c r="B2" s="172" t="s">
        <v>178</v>
      </c>
      <c r="C2" s="208" t="s">
        <v>51</v>
      </c>
      <c r="D2" s="218"/>
      <c r="E2" s="218"/>
      <c r="F2" s="218"/>
      <c r="G2" s="218"/>
      <c r="H2" s="218"/>
      <c r="I2" s="218"/>
      <c r="J2" s="218"/>
      <c r="K2" s="218"/>
      <c r="L2" s="173" t="s">
        <v>45</v>
      </c>
      <c r="M2" s="173" t="s">
        <v>46</v>
      </c>
      <c r="N2" s="173" t="s">
        <v>47</v>
      </c>
      <c r="O2" s="173" t="s">
        <v>48</v>
      </c>
      <c r="P2" s="173" t="s">
        <v>49</v>
      </c>
      <c r="Q2" s="174" t="s">
        <v>50</v>
      </c>
    </row>
    <row r="3" spans="1:17" s="26" customFormat="1" ht="19.5" customHeight="1" x14ac:dyDescent="0.3">
      <c r="A3" s="209"/>
      <c r="B3" s="214"/>
      <c r="C3" s="215"/>
      <c r="D3" s="219" t="s">
        <v>152</v>
      </c>
      <c r="E3" s="219" t="s">
        <v>153</v>
      </c>
      <c r="F3" s="219" t="s">
        <v>160</v>
      </c>
      <c r="G3" s="219" t="s">
        <v>154</v>
      </c>
      <c r="H3" s="219" t="s">
        <v>155</v>
      </c>
      <c r="I3" s="219" t="s">
        <v>156</v>
      </c>
      <c r="J3" s="219" t="s">
        <v>163</v>
      </c>
      <c r="K3" s="219" t="s">
        <v>170</v>
      </c>
      <c r="L3" s="216"/>
      <c r="M3" s="216"/>
      <c r="N3" s="216"/>
      <c r="O3" s="216"/>
      <c r="P3" s="216"/>
      <c r="Q3" s="217"/>
    </row>
    <row r="4" spans="1:17" ht="18" customHeight="1" x14ac:dyDescent="0.35">
      <c r="A4" s="175">
        <v>830</v>
      </c>
      <c r="B4" s="204">
        <v>2</v>
      </c>
      <c r="C4" s="205" t="s">
        <v>52</v>
      </c>
      <c r="D4" s="205" t="s">
        <v>157</v>
      </c>
      <c r="E4" s="205" t="s">
        <v>158</v>
      </c>
      <c r="F4" s="205"/>
      <c r="G4" s="205" t="s">
        <v>159</v>
      </c>
      <c r="H4" s="205" t="s">
        <v>159</v>
      </c>
      <c r="I4" s="205"/>
      <c r="J4" s="205"/>
      <c r="K4" s="205"/>
      <c r="L4" s="206">
        <v>5.9</v>
      </c>
      <c r="M4" s="206">
        <v>2.2999999999999998</v>
      </c>
      <c r="N4" s="206">
        <v>41.3</v>
      </c>
      <c r="O4" s="206">
        <v>61.5</v>
      </c>
      <c r="P4" s="206">
        <v>165.8</v>
      </c>
      <c r="Q4" s="207">
        <v>24.5</v>
      </c>
    </row>
    <row r="5" spans="1:17" ht="18" customHeight="1" x14ac:dyDescent="0.4">
      <c r="A5" s="140">
        <v>831</v>
      </c>
      <c r="B5" s="251">
        <v>4</v>
      </c>
      <c r="C5" s="132" t="s">
        <v>53</v>
      </c>
      <c r="D5" s="132" t="s">
        <v>159</v>
      </c>
      <c r="E5" s="132"/>
      <c r="F5" s="132"/>
      <c r="G5" s="132"/>
      <c r="H5" s="132"/>
      <c r="I5" s="132"/>
      <c r="J5" s="132"/>
      <c r="K5" s="132"/>
      <c r="L5" s="133">
        <v>6.4</v>
      </c>
      <c r="M5" s="133">
        <v>2.4</v>
      </c>
      <c r="N5" s="133">
        <v>43.1</v>
      </c>
      <c r="O5" s="133">
        <v>74.400000000000006</v>
      </c>
      <c r="P5" s="133">
        <v>173.6</v>
      </c>
      <c r="Q5" s="134">
        <v>27.6</v>
      </c>
    </row>
    <row r="6" spans="1:17" ht="18" customHeight="1" x14ac:dyDescent="0.35">
      <c r="A6" s="140">
        <v>832</v>
      </c>
      <c r="B6" s="122">
        <v>2</v>
      </c>
      <c r="C6" s="132" t="s">
        <v>54</v>
      </c>
      <c r="D6" s="132" t="s">
        <v>158</v>
      </c>
      <c r="E6" s="132"/>
      <c r="F6" s="132" t="s">
        <v>159</v>
      </c>
      <c r="G6" s="132" t="s">
        <v>157</v>
      </c>
      <c r="H6" s="132"/>
      <c r="I6" s="132"/>
      <c r="J6" s="132"/>
      <c r="K6" s="132"/>
      <c r="L6" s="133">
        <v>6.4</v>
      </c>
      <c r="M6" s="133">
        <v>2.6</v>
      </c>
      <c r="N6" s="133">
        <v>42.2</v>
      </c>
      <c r="O6" s="133">
        <v>72.599999999999994</v>
      </c>
      <c r="P6" s="133">
        <v>174.4</v>
      </c>
      <c r="Q6" s="134">
        <v>26.6</v>
      </c>
    </row>
    <row r="7" spans="1:17" ht="18" customHeight="1" x14ac:dyDescent="0.35">
      <c r="A7" s="140">
        <v>833</v>
      </c>
      <c r="B7" s="122">
        <v>2</v>
      </c>
      <c r="C7" s="132" t="s">
        <v>55</v>
      </c>
      <c r="D7" s="132" t="s">
        <v>157</v>
      </c>
      <c r="E7" s="132"/>
      <c r="F7" s="132"/>
      <c r="G7" s="132"/>
      <c r="H7" s="132"/>
      <c r="I7" s="132" t="s">
        <v>161</v>
      </c>
      <c r="J7" s="132"/>
      <c r="K7" s="132"/>
      <c r="L7" s="133">
        <v>6.6</v>
      </c>
      <c r="M7" s="133">
        <v>3</v>
      </c>
      <c r="N7" s="133">
        <v>41.9</v>
      </c>
      <c r="O7" s="133">
        <v>60.9</v>
      </c>
      <c r="P7" s="133">
        <v>173.1</v>
      </c>
      <c r="Q7" s="134">
        <v>31</v>
      </c>
    </row>
    <row r="8" spans="1:17" ht="18" customHeight="1" x14ac:dyDescent="0.35">
      <c r="A8" s="140">
        <v>834</v>
      </c>
      <c r="B8" s="122">
        <v>2</v>
      </c>
      <c r="C8" s="132" t="s">
        <v>162</v>
      </c>
      <c r="D8" s="132" t="s">
        <v>157</v>
      </c>
      <c r="E8" s="132" t="s">
        <v>159</v>
      </c>
      <c r="F8" s="132"/>
      <c r="G8" s="132"/>
      <c r="H8" s="132"/>
      <c r="I8" s="132"/>
      <c r="J8" s="132"/>
      <c r="K8" s="132"/>
      <c r="L8" s="133">
        <v>6.2</v>
      </c>
      <c r="M8" s="133">
        <v>2.6</v>
      </c>
      <c r="N8" s="133">
        <v>38.1</v>
      </c>
      <c r="O8" s="133">
        <v>63.8</v>
      </c>
      <c r="P8" s="133">
        <v>168.7</v>
      </c>
      <c r="Q8" s="134">
        <v>29.6</v>
      </c>
    </row>
    <row r="9" spans="1:17" ht="18" customHeight="1" x14ac:dyDescent="0.35">
      <c r="A9" s="140">
        <v>835</v>
      </c>
      <c r="B9" s="122">
        <v>2</v>
      </c>
      <c r="C9" s="132" t="s">
        <v>56</v>
      </c>
      <c r="D9" s="132" t="s">
        <v>157</v>
      </c>
      <c r="E9" s="132"/>
      <c r="F9" s="132"/>
      <c r="G9" s="132"/>
      <c r="H9" s="132"/>
      <c r="I9" s="132"/>
      <c r="J9" s="132" t="s">
        <v>159</v>
      </c>
      <c r="K9" s="132"/>
      <c r="L9" s="133">
        <v>5.6</v>
      </c>
      <c r="M9" s="133">
        <v>2.2999999999999998</v>
      </c>
      <c r="N9" s="133">
        <v>37.200000000000003</v>
      </c>
      <c r="O9" s="133">
        <v>64.099999999999994</v>
      </c>
      <c r="P9" s="133">
        <v>155.19999999999999</v>
      </c>
      <c r="Q9" s="134">
        <v>23.7</v>
      </c>
    </row>
    <row r="10" spans="1:17" ht="18" customHeight="1" x14ac:dyDescent="0.35">
      <c r="A10" s="140">
        <v>836</v>
      </c>
      <c r="B10" s="122">
        <v>2</v>
      </c>
      <c r="C10" s="132" t="s">
        <v>57</v>
      </c>
      <c r="D10" s="132" t="s">
        <v>158</v>
      </c>
      <c r="E10" s="132" t="s">
        <v>164</v>
      </c>
      <c r="F10" s="132"/>
      <c r="G10" s="132" t="s">
        <v>159</v>
      </c>
      <c r="H10" s="132" t="s">
        <v>159</v>
      </c>
      <c r="I10" s="132"/>
      <c r="J10" s="132"/>
      <c r="K10" s="132"/>
      <c r="L10" s="133">
        <v>5.8</v>
      </c>
      <c r="M10" s="133">
        <v>2.2000000000000002</v>
      </c>
      <c r="N10" s="133">
        <v>40.700000000000003</v>
      </c>
      <c r="O10" s="133">
        <v>59.7</v>
      </c>
      <c r="P10" s="133">
        <v>161.6</v>
      </c>
      <c r="Q10" s="134">
        <v>24.2</v>
      </c>
    </row>
    <row r="11" spans="1:17" ht="18" customHeight="1" x14ac:dyDescent="0.35">
      <c r="A11" s="140">
        <v>837</v>
      </c>
      <c r="B11" s="122">
        <v>2</v>
      </c>
      <c r="C11" s="132" t="s">
        <v>175</v>
      </c>
      <c r="D11" s="132" t="s">
        <v>157</v>
      </c>
      <c r="E11" s="132" t="s">
        <v>158</v>
      </c>
      <c r="F11" s="132"/>
      <c r="G11" s="132"/>
      <c r="H11" s="132"/>
      <c r="I11" s="132"/>
      <c r="J11" s="132"/>
      <c r="K11" s="132"/>
      <c r="L11" s="133">
        <v>5.8</v>
      </c>
      <c r="M11" s="133">
        <v>2.1</v>
      </c>
      <c r="N11" s="133">
        <v>40.700000000000003</v>
      </c>
      <c r="O11" s="133">
        <v>59.7</v>
      </c>
      <c r="P11" s="133">
        <v>162.30000000000001</v>
      </c>
      <c r="Q11" s="134">
        <v>25</v>
      </c>
    </row>
    <row r="12" spans="1:17" ht="18" customHeight="1" x14ac:dyDescent="0.35">
      <c r="A12" s="140">
        <v>838</v>
      </c>
      <c r="B12" s="122">
        <v>2</v>
      </c>
      <c r="C12" s="132" t="s">
        <v>58</v>
      </c>
      <c r="D12" s="132" t="s">
        <v>157</v>
      </c>
      <c r="E12" s="132"/>
      <c r="F12" s="132" t="s">
        <v>158</v>
      </c>
      <c r="G12" s="132"/>
      <c r="H12" s="132"/>
      <c r="I12" s="132" t="s">
        <v>159</v>
      </c>
      <c r="J12" s="132"/>
      <c r="K12" s="132"/>
      <c r="L12" s="133">
        <v>6</v>
      </c>
      <c r="M12" s="133">
        <v>2.5</v>
      </c>
      <c r="N12" s="133">
        <v>39.799999999999997</v>
      </c>
      <c r="O12" s="133">
        <v>56.9</v>
      </c>
      <c r="P12" s="133">
        <v>160.4</v>
      </c>
      <c r="Q12" s="134">
        <v>27.5</v>
      </c>
    </row>
    <row r="13" spans="1:17" ht="18" customHeight="1" x14ac:dyDescent="0.35">
      <c r="A13" s="140">
        <v>839</v>
      </c>
      <c r="B13" s="122">
        <v>2</v>
      </c>
      <c r="C13" s="132" t="s">
        <v>59</v>
      </c>
      <c r="D13" s="132" t="s">
        <v>157</v>
      </c>
      <c r="E13" s="132" t="s">
        <v>159</v>
      </c>
      <c r="F13" s="132"/>
      <c r="G13" s="132" t="s">
        <v>158</v>
      </c>
      <c r="H13" s="132" t="s">
        <v>158</v>
      </c>
      <c r="I13" s="132"/>
      <c r="J13" s="132"/>
      <c r="K13" s="132"/>
      <c r="L13" s="133">
        <v>6</v>
      </c>
      <c r="M13" s="133">
        <v>2.7</v>
      </c>
      <c r="N13" s="133">
        <v>41.5</v>
      </c>
      <c r="O13" s="133">
        <v>56.7</v>
      </c>
      <c r="P13" s="133">
        <v>150.19999999999999</v>
      </c>
      <c r="Q13" s="134">
        <v>29.6</v>
      </c>
    </row>
    <row r="14" spans="1:17" ht="18" customHeight="1" x14ac:dyDescent="0.35">
      <c r="A14" s="140">
        <v>840</v>
      </c>
      <c r="B14" s="122">
        <v>3</v>
      </c>
      <c r="C14" s="132" t="s">
        <v>176</v>
      </c>
      <c r="D14" s="132"/>
      <c r="E14" s="132"/>
      <c r="F14" s="132"/>
      <c r="G14" s="132" t="s">
        <v>157</v>
      </c>
      <c r="H14" s="132" t="s">
        <v>157</v>
      </c>
      <c r="I14" s="132"/>
      <c r="J14" s="132"/>
      <c r="K14" s="132"/>
      <c r="L14" s="133">
        <v>6</v>
      </c>
      <c r="M14" s="133">
        <v>3</v>
      </c>
      <c r="N14" s="133">
        <v>41.5</v>
      </c>
      <c r="O14" s="133">
        <v>56.3</v>
      </c>
      <c r="P14" s="133">
        <v>149.30000000000001</v>
      </c>
      <c r="Q14" s="134">
        <v>28.4</v>
      </c>
    </row>
    <row r="15" spans="1:17" ht="18" customHeight="1" x14ac:dyDescent="0.35">
      <c r="A15" s="140">
        <v>841</v>
      </c>
      <c r="B15" s="122">
        <v>3</v>
      </c>
      <c r="C15" s="132" t="s">
        <v>60</v>
      </c>
      <c r="D15" s="132" t="s">
        <v>158</v>
      </c>
      <c r="E15" s="132" t="s">
        <v>159</v>
      </c>
      <c r="F15" s="132" t="s">
        <v>159</v>
      </c>
      <c r="G15" s="132" t="s">
        <v>159</v>
      </c>
      <c r="H15" s="132"/>
      <c r="I15" s="132"/>
      <c r="J15" s="132"/>
      <c r="K15" s="132"/>
      <c r="L15" s="133">
        <v>5.7</v>
      </c>
      <c r="M15" s="133">
        <v>2.1</v>
      </c>
      <c r="N15" s="133">
        <v>42.1</v>
      </c>
      <c r="O15" s="133">
        <v>53.8</v>
      </c>
      <c r="P15" s="133">
        <v>151.69999999999999</v>
      </c>
      <c r="Q15" s="134">
        <v>24.6</v>
      </c>
    </row>
    <row r="16" spans="1:17" ht="18" customHeight="1" x14ac:dyDescent="0.35">
      <c r="A16" s="140">
        <v>842</v>
      </c>
      <c r="B16" s="122">
        <v>2</v>
      </c>
      <c r="C16" s="132" t="s">
        <v>61</v>
      </c>
      <c r="D16" s="132" t="s">
        <v>165</v>
      </c>
      <c r="E16" s="132"/>
      <c r="F16" s="132"/>
      <c r="G16" s="132" t="s">
        <v>158</v>
      </c>
      <c r="H16" s="132"/>
      <c r="I16" s="132"/>
      <c r="J16" s="132"/>
      <c r="K16" s="132"/>
      <c r="L16" s="113">
        <v>5.8</v>
      </c>
      <c r="M16" s="113">
        <v>2.1</v>
      </c>
      <c r="N16" s="113">
        <v>42.6</v>
      </c>
      <c r="O16" s="113">
        <v>54.6</v>
      </c>
      <c r="P16" s="113">
        <v>153.1</v>
      </c>
      <c r="Q16" s="121">
        <v>27.3</v>
      </c>
    </row>
    <row r="17" spans="1:17" ht="18" customHeight="1" x14ac:dyDescent="0.35">
      <c r="A17" s="140">
        <v>843</v>
      </c>
      <c r="B17" s="122">
        <v>2</v>
      </c>
      <c r="C17" s="132" t="s">
        <v>62</v>
      </c>
      <c r="D17" s="132" t="s">
        <v>157</v>
      </c>
      <c r="E17" s="132" t="s">
        <v>159</v>
      </c>
      <c r="F17" s="132"/>
      <c r="G17" s="132" t="s">
        <v>158</v>
      </c>
      <c r="H17" s="132" t="s">
        <v>158</v>
      </c>
      <c r="I17" s="132"/>
      <c r="J17" s="132"/>
      <c r="K17" s="132"/>
      <c r="L17" s="113">
        <v>5.6</v>
      </c>
      <c r="M17" s="113">
        <v>2.1</v>
      </c>
      <c r="N17" s="113">
        <v>41.4</v>
      </c>
      <c r="O17" s="113">
        <v>52.9</v>
      </c>
      <c r="P17" s="113">
        <v>149.80000000000001</v>
      </c>
      <c r="Q17" s="121">
        <v>23.7</v>
      </c>
    </row>
    <row r="18" spans="1:17" ht="18" customHeight="1" x14ac:dyDescent="0.35">
      <c r="A18" s="140">
        <v>844</v>
      </c>
      <c r="B18" s="122">
        <v>2</v>
      </c>
      <c r="C18" s="132" t="s">
        <v>177</v>
      </c>
      <c r="D18" s="132" t="s">
        <v>158</v>
      </c>
      <c r="E18" s="132"/>
      <c r="F18" s="132"/>
      <c r="G18" s="132" t="s">
        <v>158</v>
      </c>
      <c r="H18" s="132"/>
      <c r="I18" s="132"/>
      <c r="J18" s="132"/>
      <c r="K18" s="132"/>
      <c r="L18" s="113">
        <v>5.5</v>
      </c>
      <c r="M18" s="113">
        <v>2.1</v>
      </c>
      <c r="N18" s="113">
        <v>40</v>
      </c>
      <c r="O18" s="113">
        <v>51.1</v>
      </c>
      <c r="P18" s="113">
        <v>143.1</v>
      </c>
      <c r="Q18" s="121">
        <v>25.7</v>
      </c>
    </row>
    <row r="19" spans="1:17" ht="18" customHeight="1" x14ac:dyDescent="0.35">
      <c r="A19" s="140">
        <v>845</v>
      </c>
      <c r="B19" s="122">
        <v>2</v>
      </c>
      <c r="C19" s="132" t="s">
        <v>63</v>
      </c>
      <c r="D19" s="132" t="s">
        <v>157</v>
      </c>
      <c r="E19" s="132"/>
      <c r="F19" s="132"/>
      <c r="G19" s="132" t="s">
        <v>159</v>
      </c>
      <c r="H19" s="132"/>
      <c r="I19" s="132"/>
      <c r="J19" s="132"/>
      <c r="K19" s="132"/>
      <c r="L19" s="133">
        <v>5.5</v>
      </c>
      <c r="M19" s="133">
        <v>2.2000000000000002</v>
      </c>
      <c r="N19" s="133">
        <v>40.4</v>
      </c>
      <c r="O19" s="133">
        <v>51.5</v>
      </c>
      <c r="P19" s="133">
        <v>145.19999999999999</v>
      </c>
      <c r="Q19" s="134">
        <v>25.3</v>
      </c>
    </row>
    <row r="20" spans="1:17" ht="18" customHeight="1" x14ac:dyDescent="0.35">
      <c r="A20" s="140">
        <v>846</v>
      </c>
      <c r="B20" s="122">
        <v>2</v>
      </c>
      <c r="C20" s="132" t="s">
        <v>64</v>
      </c>
      <c r="D20" s="132" t="s">
        <v>157</v>
      </c>
      <c r="E20" s="132" t="s">
        <v>158</v>
      </c>
      <c r="F20" s="132"/>
      <c r="G20" s="132"/>
      <c r="H20" s="132"/>
      <c r="I20" s="132"/>
      <c r="J20" s="132"/>
      <c r="K20" s="132"/>
      <c r="L20" s="133">
        <v>5.7</v>
      </c>
      <c r="M20" s="133">
        <v>2.4</v>
      </c>
      <c r="N20" s="133">
        <v>37.659999999999997</v>
      </c>
      <c r="O20" s="133">
        <v>44.3</v>
      </c>
      <c r="P20" s="133">
        <v>152.6</v>
      </c>
      <c r="Q20" s="134">
        <v>21.8</v>
      </c>
    </row>
    <row r="21" spans="1:17" ht="18" customHeight="1" x14ac:dyDescent="0.35">
      <c r="A21" s="140">
        <v>847</v>
      </c>
      <c r="B21" s="122">
        <v>2</v>
      </c>
      <c r="C21" s="132" t="s">
        <v>65</v>
      </c>
      <c r="D21" s="132" t="s">
        <v>157</v>
      </c>
      <c r="E21" s="132" t="s">
        <v>158</v>
      </c>
      <c r="F21" s="132"/>
      <c r="G21" s="132" t="s">
        <v>157</v>
      </c>
      <c r="H21" s="132"/>
      <c r="I21" s="132" t="s">
        <v>159</v>
      </c>
      <c r="J21" s="132"/>
      <c r="K21" s="132"/>
      <c r="L21" s="133">
        <v>5.9</v>
      </c>
      <c r="M21" s="133">
        <v>2.5</v>
      </c>
      <c r="N21" s="133">
        <v>38.9</v>
      </c>
      <c r="O21" s="133">
        <v>46.1</v>
      </c>
      <c r="P21" s="133">
        <v>158.19999999999999</v>
      </c>
      <c r="Q21" s="134">
        <v>23.9</v>
      </c>
    </row>
    <row r="22" spans="1:17" ht="18" customHeight="1" x14ac:dyDescent="0.35">
      <c r="A22" s="140">
        <v>848</v>
      </c>
      <c r="B22" s="122">
        <v>2</v>
      </c>
      <c r="C22" s="132" t="s">
        <v>166</v>
      </c>
      <c r="D22" s="132" t="s">
        <v>157</v>
      </c>
      <c r="E22" s="132"/>
      <c r="F22" s="132"/>
      <c r="G22" s="132"/>
      <c r="H22" s="132"/>
      <c r="I22" s="132" t="s">
        <v>158</v>
      </c>
      <c r="J22" s="132"/>
      <c r="K22" s="132"/>
      <c r="L22" s="133">
        <v>5.5</v>
      </c>
      <c r="M22" s="133">
        <v>2.4</v>
      </c>
      <c r="N22" s="133">
        <v>36.1</v>
      </c>
      <c r="O22" s="133">
        <v>42.5</v>
      </c>
      <c r="P22" s="133">
        <v>146.30000000000001</v>
      </c>
      <c r="Q22" s="134">
        <v>21.3</v>
      </c>
    </row>
    <row r="23" spans="1:17" ht="18" customHeight="1" x14ac:dyDescent="0.4">
      <c r="A23" s="140">
        <v>849</v>
      </c>
      <c r="B23" s="253">
        <v>3</v>
      </c>
      <c r="C23" s="132" t="s">
        <v>167</v>
      </c>
      <c r="D23" s="132" t="s">
        <v>159</v>
      </c>
      <c r="E23" s="132"/>
      <c r="F23" s="132"/>
      <c r="G23" s="132" t="s">
        <v>158</v>
      </c>
      <c r="H23" s="132"/>
      <c r="I23" s="132"/>
      <c r="J23" s="132"/>
      <c r="K23" s="132"/>
      <c r="L23" s="133">
        <v>5.6</v>
      </c>
      <c r="M23" s="133">
        <v>1.7</v>
      </c>
      <c r="N23" s="133">
        <v>36.6</v>
      </c>
      <c r="O23" s="133">
        <v>43.3</v>
      </c>
      <c r="P23" s="133">
        <v>148.5</v>
      </c>
      <c r="Q23" s="134">
        <v>22.8</v>
      </c>
    </row>
    <row r="24" spans="1:17" ht="18" customHeight="1" x14ac:dyDescent="0.35">
      <c r="A24" s="140">
        <v>850</v>
      </c>
      <c r="B24" s="122">
        <v>2</v>
      </c>
      <c r="C24" s="132" t="s">
        <v>168</v>
      </c>
      <c r="D24" s="132" t="s">
        <v>157</v>
      </c>
      <c r="E24" s="132"/>
      <c r="F24" s="132"/>
      <c r="G24" s="132" t="s">
        <v>158</v>
      </c>
      <c r="H24" s="132"/>
      <c r="I24" s="132"/>
      <c r="J24" s="132"/>
      <c r="K24" s="132"/>
      <c r="L24" s="133">
        <v>5.8</v>
      </c>
      <c r="M24" s="133">
        <v>2.6</v>
      </c>
      <c r="N24" s="133">
        <v>38.6</v>
      </c>
      <c r="O24" s="133">
        <v>45.4</v>
      </c>
      <c r="P24" s="133">
        <v>155.80000000000001</v>
      </c>
      <c r="Q24" s="134">
        <v>22.5</v>
      </c>
    </row>
    <row r="25" spans="1:17" ht="18" customHeight="1" x14ac:dyDescent="0.35">
      <c r="A25" s="140">
        <v>851</v>
      </c>
      <c r="B25" s="122">
        <v>2</v>
      </c>
      <c r="C25" s="132" t="s">
        <v>169</v>
      </c>
      <c r="D25" s="132" t="s">
        <v>158</v>
      </c>
      <c r="E25" s="132" t="s">
        <v>159</v>
      </c>
      <c r="F25" s="132"/>
      <c r="G25" s="132" t="s">
        <v>158</v>
      </c>
      <c r="H25" s="132"/>
      <c r="I25" s="132"/>
      <c r="J25" s="132" t="s">
        <v>158</v>
      </c>
      <c r="K25" s="132"/>
      <c r="L25" s="133">
        <v>5.7</v>
      </c>
      <c r="M25" s="133">
        <v>2.6</v>
      </c>
      <c r="N25" s="133">
        <v>36.1</v>
      </c>
      <c r="O25" s="133">
        <v>42.1</v>
      </c>
      <c r="P25" s="133">
        <v>145.5</v>
      </c>
      <c r="Q25" s="134">
        <v>23.2</v>
      </c>
    </row>
    <row r="26" spans="1:17" ht="18" customHeight="1" x14ac:dyDescent="0.35">
      <c r="A26" s="140">
        <v>852</v>
      </c>
      <c r="B26" s="122">
        <v>2</v>
      </c>
      <c r="C26" s="132" t="s">
        <v>66</v>
      </c>
      <c r="D26" s="132" t="s">
        <v>157</v>
      </c>
      <c r="E26" s="132" t="s">
        <v>157</v>
      </c>
      <c r="F26" s="132"/>
      <c r="G26" s="132" t="s">
        <v>158</v>
      </c>
      <c r="H26" s="132"/>
      <c r="I26" s="132"/>
      <c r="J26" s="132"/>
      <c r="K26" s="132"/>
      <c r="L26" s="133">
        <v>5.8</v>
      </c>
      <c r="M26" s="133">
        <v>2.6</v>
      </c>
      <c r="N26" s="133">
        <v>37.299999999999997</v>
      </c>
      <c r="O26" s="133">
        <v>43.5</v>
      </c>
      <c r="P26" s="133">
        <v>150.30000000000001</v>
      </c>
      <c r="Q26" s="134">
        <v>24.1</v>
      </c>
    </row>
    <row r="27" spans="1:17" ht="18" customHeight="1" x14ac:dyDescent="0.35">
      <c r="A27" s="140">
        <v>853</v>
      </c>
      <c r="B27" s="122">
        <v>2</v>
      </c>
      <c r="C27" s="220" t="s">
        <v>171</v>
      </c>
      <c r="D27" s="220" t="s">
        <v>157</v>
      </c>
      <c r="E27" s="135"/>
      <c r="F27" s="135"/>
      <c r="G27" s="135"/>
      <c r="H27" s="220" t="s">
        <v>158</v>
      </c>
      <c r="I27" s="135"/>
      <c r="J27" s="135"/>
      <c r="K27" s="135"/>
      <c r="L27" s="133">
        <v>5.8</v>
      </c>
      <c r="M27" s="133">
        <v>2.6</v>
      </c>
      <c r="N27" s="133">
        <v>36.299999999999997</v>
      </c>
      <c r="O27" s="133">
        <v>41.8</v>
      </c>
      <c r="P27" s="133">
        <v>148.6</v>
      </c>
      <c r="Q27" s="134">
        <v>21.1</v>
      </c>
    </row>
    <row r="28" spans="1:17" ht="18" customHeight="1" x14ac:dyDescent="0.35">
      <c r="A28" s="140">
        <v>854</v>
      </c>
      <c r="B28" s="122">
        <v>2</v>
      </c>
      <c r="C28" s="135" t="s">
        <v>67</v>
      </c>
      <c r="D28" s="220" t="s">
        <v>158</v>
      </c>
      <c r="E28" s="220" t="s">
        <v>159</v>
      </c>
      <c r="F28" s="135"/>
      <c r="G28" s="220" t="s">
        <v>159</v>
      </c>
      <c r="H28" s="220" t="s">
        <v>159</v>
      </c>
      <c r="I28" s="135"/>
      <c r="J28" s="135"/>
      <c r="K28" s="135"/>
      <c r="L28" s="133">
        <v>5.8</v>
      </c>
      <c r="M28" s="133">
        <v>2.6</v>
      </c>
      <c r="N28" s="133">
        <v>36.299999999999997</v>
      </c>
      <c r="O28" s="133">
        <v>41.8</v>
      </c>
      <c r="P28" s="133">
        <v>148.5</v>
      </c>
      <c r="Q28" s="134">
        <v>21</v>
      </c>
    </row>
    <row r="29" spans="1:17" ht="18" customHeight="1" x14ac:dyDescent="0.35">
      <c r="A29" s="140">
        <v>855</v>
      </c>
      <c r="B29" s="122">
        <v>2</v>
      </c>
      <c r="C29" s="135" t="s">
        <v>68</v>
      </c>
      <c r="D29" s="220" t="s">
        <v>158</v>
      </c>
      <c r="E29" s="135"/>
      <c r="F29" s="135"/>
      <c r="G29" s="220" t="s">
        <v>158</v>
      </c>
      <c r="H29" s="135"/>
      <c r="I29" s="220" t="s">
        <v>158</v>
      </c>
      <c r="J29" s="135"/>
      <c r="K29" s="135"/>
      <c r="L29" s="133">
        <v>5.7</v>
      </c>
      <c r="M29" s="133">
        <v>2.5</v>
      </c>
      <c r="N29" s="133">
        <v>35.6</v>
      </c>
      <c r="O29" s="133">
        <v>41</v>
      </c>
      <c r="P29" s="133">
        <v>146.19999999999999</v>
      </c>
      <c r="Q29" s="134">
        <v>20.2</v>
      </c>
    </row>
    <row r="30" spans="1:17" ht="18" customHeight="1" x14ac:dyDescent="0.35">
      <c r="A30" s="140">
        <v>856</v>
      </c>
      <c r="B30" s="122">
        <v>2</v>
      </c>
      <c r="C30" s="135" t="s">
        <v>69</v>
      </c>
      <c r="D30" s="220" t="s">
        <v>158</v>
      </c>
      <c r="E30" s="135"/>
      <c r="F30" s="135"/>
      <c r="G30" s="220" t="s">
        <v>158</v>
      </c>
      <c r="H30" s="135"/>
      <c r="I30" s="135"/>
      <c r="J30" s="220" t="s">
        <v>158</v>
      </c>
      <c r="K30" s="135"/>
      <c r="L30" s="133">
        <v>6.1</v>
      </c>
      <c r="M30" s="133">
        <v>2.8</v>
      </c>
      <c r="N30" s="133">
        <v>37.9</v>
      </c>
      <c r="O30" s="133">
        <v>43.8</v>
      </c>
      <c r="P30" s="133">
        <v>156.30000000000001</v>
      </c>
      <c r="Q30" s="134">
        <v>22.9</v>
      </c>
    </row>
    <row r="31" spans="1:17" ht="18" customHeight="1" x14ac:dyDescent="0.35">
      <c r="A31" s="140">
        <v>857</v>
      </c>
      <c r="B31" s="122">
        <v>2</v>
      </c>
      <c r="C31" s="135" t="s">
        <v>70</v>
      </c>
      <c r="D31" s="220" t="s">
        <v>157</v>
      </c>
      <c r="E31" s="220" t="s">
        <v>158</v>
      </c>
      <c r="F31" s="135"/>
      <c r="G31" s="135"/>
      <c r="H31" s="135"/>
      <c r="I31" s="135"/>
      <c r="J31" s="135"/>
      <c r="K31" s="135"/>
      <c r="L31" s="133">
        <v>6.1</v>
      </c>
      <c r="M31" s="133">
        <v>2.8</v>
      </c>
      <c r="N31" s="133">
        <v>39.1</v>
      </c>
      <c r="O31" s="133">
        <v>45.4</v>
      </c>
      <c r="P31" s="133">
        <v>157.9</v>
      </c>
      <c r="Q31" s="134">
        <v>25.1</v>
      </c>
    </row>
    <row r="32" spans="1:17" ht="18" customHeight="1" x14ac:dyDescent="0.35">
      <c r="A32" s="140">
        <v>858</v>
      </c>
      <c r="B32" s="122">
        <v>2</v>
      </c>
      <c r="C32" s="220" t="s">
        <v>172</v>
      </c>
      <c r="D32" s="220" t="s">
        <v>158</v>
      </c>
      <c r="E32" s="220" t="s">
        <v>158</v>
      </c>
      <c r="F32" s="135"/>
      <c r="G32" s="220" t="s">
        <v>158</v>
      </c>
      <c r="H32" s="135"/>
      <c r="I32" s="135"/>
      <c r="J32" s="220" t="s">
        <v>158</v>
      </c>
      <c r="K32" s="135"/>
      <c r="L32" s="133">
        <v>6.2</v>
      </c>
      <c r="M32" s="133">
        <v>2.8</v>
      </c>
      <c r="N32" s="133">
        <v>39.299999999999997</v>
      </c>
      <c r="O32" s="133">
        <v>45.6</v>
      </c>
      <c r="P32" s="133">
        <v>158.6</v>
      </c>
      <c r="Q32" s="134">
        <v>25.5</v>
      </c>
    </row>
    <row r="33" spans="1:17" ht="18" customHeight="1" x14ac:dyDescent="0.35">
      <c r="A33" s="140">
        <v>859</v>
      </c>
      <c r="B33" s="122">
        <v>2</v>
      </c>
      <c r="C33" s="135" t="s">
        <v>71</v>
      </c>
      <c r="D33" s="220" t="s">
        <v>157</v>
      </c>
      <c r="E33" s="220" t="s">
        <v>158</v>
      </c>
      <c r="F33" s="135"/>
      <c r="G33" s="220" t="s">
        <v>157</v>
      </c>
      <c r="H33" s="135"/>
      <c r="I33" s="135"/>
      <c r="J33" s="135"/>
      <c r="K33" s="135"/>
      <c r="L33" s="133">
        <v>5.8</v>
      </c>
      <c r="M33" s="133">
        <v>2.7</v>
      </c>
      <c r="N33" s="133">
        <v>36.4</v>
      </c>
      <c r="O33" s="133">
        <v>41.9</v>
      </c>
      <c r="P33" s="133">
        <v>150</v>
      </c>
      <c r="Q33" s="134">
        <v>20.6</v>
      </c>
    </row>
    <row r="34" spans="1:17" ht="18" customHeight="1" x14ac:dyDescent="0.4">
      <c r="A34" s="140">
        <v>860</v>
      </c>
      <c r="B34" s="252">
        <v>4</v>
      </c>
      <c r="C34" s="220" t="s">
        <v>173</v>
      </c>
      <c r="D34" s="135"/>
      <c r="E34" s="135"/>
      <c r="F34" s="135"/>
      <c r="G34" s="220" t="s">
        <v>159</v>
      </c>
      <c r="H34" s="135"/>
      <c r="I34" s="220" t="s">
        <v>159</v>
      </c>
      <c r="J34" s="135"/>
      <c r="K34" s="135"/>
      <c r="L34" s="133">
        <v>5.8</v>
      </c>
      <c r="M34" s="133">
        <v>2.2999999999999998</v>
      </c>
      <c r="N34" s="133">
        <v>38.799999999999997</v>
      </c>
      <c r="O34" s="133">
        <v>49</v>
      </c>
      <c r="P34" s="133">
        <v>136.4</v>
      </c>
      <c r="Q34" s="134">
        <v>23.2</v>
      </c>
    </row>
    <row r="35" spans="1:17" ht="18" customHeight="1" x14ac:dyDescent="0.35">
      <c r="A35" s="140">
        <v>861</v>
      </c>
      <c r="B35" s="122">
        <v>2</v>
      </c>
      <c r="C35" s="135" t="s">
        <v>72</v>
      </c>
      <c r="D35" s="220" t="s">
        <v>157</v>
      </c>
      <c r="E35" s="220" t="s">
        <v>158</v>
      </c>
      <c r="F35" s="135"/>
      <c r="G35" s="220" t="s">
        <v>157</v>
      </c>
      <c r="H35" s="220" t="s">
        <v>157</v>
      </c>
      <c r="I35" s="135"/>
      <c r="J35" s="135"/>
      <c r="K35" s="135"/>
      <c r="L35" s="133">
        <v>6.4</v>
      </c>
      <c r="M35" s="133">
        <v>2.6</v>
      </c>
      <c r="N35" s="133">
        <v>43.4</v>
      </c>
      <c r="O35" s="133">
        <v>54.9</v>
      </c>
      <c r="P35" s="133">
        <v>152.1</v>
      </c>
      <c r="Q35" s="134">
        <v>26.5</v>
      </c>
    </row>
    <row r="36" spans="1:17" ht="18" customHeight="1" x14ac:dyDescent="0.35">
      <c r="A36" s="140">
        <v>862</v>
      </c>
      <c r="B36" s="122">
        <v>2</v>
      </c>
      <c r="C36" s="135" t="s">
        <v>73</v>
      </c>
      <c r="D36" s="220" t="s">
        <v>157</v>
      </c>
      <c r="E36" s="135"/>
      <c r="F36" s="135"/>
      <c r="G36" s="220" t="s">
        <v>157</v>
      </c>
      <c r="H36" s="135"/>
      <c r="I36" s="135"/>
      <c r="J36" s="135"/>
      <c r="K36" s="135"/>
      <c r="L36" s="133">
        <v>6.4</v>
      </c>
      <c r="M36" s="133">
        <v>2.5</v>
      </c>
      <c r="N36" s="133">
        <v>42.2</v>
      </c>
      <c r="O36" s="133">
        <v>53.4</v>
      </c>
      <c r="P36" s="133">
        <v>147.69999999999999</v>
      </c>
      <c r="Q36" s="134">
        <v>25.9</v>
      </c>
    </row>
    <row r="37" spans="1:17" ht="18" customHeight="1" x14ac:dyDescent="0.35">
      <c r="A37" s="140">
        <v>863</v>
      </c>
      <c r="B37" s="122">
        <v>2</v>
      </c>
      <c r="C37" s="135" t="s">
        <v>74</v>
      </c>
      <c r="D37" s="220" t="s">
        <v>165</v>
      </c>
      <c r="E37" s="135"/>
      <c r="F37" s="135"/>
      <c r="G37" s="220" t="s">
        <v>158</v>
      </c>
      <c r="H37" s="135"/>
      <c r="I37" s="135"/>
      <c r="J37" s="135"/>
      <c r="K37" s="135"/>
      <c r="L37" s="133">
        <v>6</v>
      </c>
      <c r="M37" s="133">
        <v>2.5</v>
      </c>
      <c r="N37" s="133">
        <v>40</v>
      </c>
      <c r="O37" s="133">
        <v>50.6</v>
      </c>
      <c r="P37" s="133">
        <v>140.5</v>
      </c>
      <c r="Q37" s="134">
        <v>24.4</v>
      </c>
    </row>
    <row r="38" spans="1:17" ht="18" customHeight="1" x14ac:dyDescent="0.35">
      <c r="A38" s="140">
        <v>864</v>
      </c>
      <c r="B38" s="122">
        <v>2</v>
      </c>
      <c r="C38" s="135" t="s">
        <v>75</v>
      </c>
      <c r="D38" s="220" t="s">
        <v>158</v>
      </c>
      <c r="E38" s="135"/>
      <c r="F38" s="135"/>
      <c r="G38" s="220" t="s">
        <v>158</v>
      </c>
      <c r="H38" s="135"/>
      <c r="I38" s="135"/>
      <c r="J38" s="135"/>
      <c r="K38" s="135"/>
      <c r="L38" s="133">
        <v>6.3</v>
      </c>
      <c r="M38" s="133">
        <v>2.7</v>
      </c>
      <c r="N38" s="133">
        <v>42.3</v>
      </c>
      <c r="O38" s="133">
        <v>53.5</v>
      </c>
      <c r="P38" s="133">
        <v>149</v>
      </c>
      <c r="Q38" s="134">
        <v>25.8</v>
      </c>
    </row>
    <row r="39" spans="1:17" ht="18" customHeight="1" x14ac:dyDescent="0.35">
      <c r="A39" s="140">
        <v>865</v>
      </c>
      <c r="B39" s="122">
        <v>2</v>
      </c>
      <c r="C39" s="220" t="s">
        <v>174</v>
      </c>
      <c r="D39" s="220" t="s">
        <v>157</v>
      </c>
      <c r="E39" s="220" t="s">
        <v>158</v>
      </c>
      <c r="F39" s="135"/>
      <c r="G39" s="220" t="s">
        <v>157</v>
      </c>
      <c r="H39" s="135"/>
      <c r="I39" s="135"/>
      <c r="J39" s="220" t="s">
        <v>158</v>
      </c>
      <c r="K39" s="135"/>
      <c r="L39" s="133">
        <v>5.6</v>
      </c>
      <c r="M39" s="133">
        <v>2.2999999999999998</v>
      </c>
      <c r="N39" s="133">
        <v>35.5</v>
      </c>
      <c r="O39" s="133">
        <v>40.9</v>
      </c>
      <c r="P39" s="133">
        <v>145.30000000000001</v>
      </c>
      <c r="Q39" s="134">
        <v>20.5</v>
      </c>
    </row>
    <row r="40" spans="1:17" ht="18" customHeight="1" x14ac:dyDescent="0.35">
      <c r="A40" s="140">
        <v>866</v>
      </c>
      <c r="B40" s="122">
        <v>2</v>
      </c>
      <c r="C40" s="135" t="s">
        <v>76</v>
      </c>
      <c r="D40" s="220" t="s">
        <v>158</v>
      </c>
      <c r="E40" s="220" t="s">
        <v>158</v>
      </c>
      <c r="F40" s="220" t="s">
        <v>158</v>
      </c>
      <c r="G40" s="220" t="s">
        <v>158</v>
      </c>
      <c r="H40" s="135"/>
      <c r="I40" s="220" t="s">
        <v>159</v>
      </c>
      <c r="J40" s="135"/>
      <c r="K40" s="135"/>
      <c r="L40" s="133">
        <v>6.2</v>
      </c>
      <c r="M40" s="133">
        <v>1.5</v>
      </c>
      <c r="N40" s="133">
        <v>39.1</v>
      </c>
      <c r="O40" s="133">
        <v>45.7</v>
      </c>
      <c r="P40" s="133">
        <v>157.80000000000001</v>
      </c>
      <c r="Q40" s="134">
        <v>27.7</v>
      </c>
    </row>
    <row r="41" spans="1:17" ht="18" customHeight="1" x14ac:dyDescent="0.35">
      <c r="A41" s="140">
        <v>867</v>
      </c>
      <c r="B41" s="122">
        <v>2</v>
      </c>
      <c r="C41" s="135" t="s">
        <v>77</v>
      </c>
      <c r="D41" s="220" t="s">
        <v>157</v>
      </c>
      <c r="E41" s="220" t="s">
        <v>158</v>
      </c>
      <c r="F41" s="135"/>
      <c r="G41" s="220" t="s">
        <v>157</v>
      </c>
      <c r="H41" s="135"/>
      <c r="I41" s="135"/>
      <c r="J41" s="220" t="s">
        <v>158</v>
      </c>
      <c r="K41" s="135"/>
      <c r="L41" s="133">
        <v>6.3</v>
      </c>
      <c r="M41" s="133">
        <v>2.6</v>
      </c>
      <c r="N41" s="133">
        <v>41.8</v>
      </c>
      <c r="O41" s="133">
        <v>52.4</v>
      </c>
      <c r="P41" s="133">
        <v>150.5</v>
      </c>
      <c r="Q41" s="134">
        <v>26.5</v>
      </c>
    </row>
    <row r="42" spans="1:17" ht="18" customHeight="1" x14ac:dyDescent="0.35">
      <c r="A42" s="140">
        <v>868</v>
      </c>
      <c r="B42" s="122">
        <v>2</v>
      </c>
      <c r="C42" s="135" t="s">
        <v>78</v>
      </c>
      <c r="D42" s="220" t="s">
        <v>157</v>
      </c>
      <c r="E42" s="135"/>
      <c r="F42" s="135"/>
      <c r="G42" s="220" t="s">
        <v>158</v>
      </c>
      <c r="H42" s="135"/>
      <c r="I42" s="135"/>
      <c r="J42" s="135"/>
      <c r="K42" s="135"/>
      <c r="L42" s="133">
        <v>6.2</v>
      </c>
      <c r="M42" s="133">
        <v>2.5</v>
      </c>
      <c r="N42" s="133">
        <v>41.8</v>
      </c>
      <c r="O42" s="133">
        <v>52.1</v>
      </c>
      <c r="P42" s="133">
        <v>150.1</v>
      </c>
      <c r="Q42" s="134">
        <v>25.5</v>
      </c>
    </row>
    <row r="43" spans="1:17" ht="18" customHeight="1" x14ac:dyDescent="0.35">
      <c r="A43" s="140">
        <v>869</v>
      </c>
      <c r="B43" s="122">
        <v>2</v>
      </c>
      <c r="C43" s="135" t="s">
        <v>79</v>
      </c>
      <c r="D43" s="221" t="s">
        <v>157</v>
      </c>
      <c r="E43" s="135"/>
      <c r="F43" s="135"/>
      <c r="G43" s="221" t="s">
        <v>157</v>
      </c>
      <c r="H43" s="135"/>
      <c r="I43" s="135"/>
      <c r="J43" s="135"/>
      <c r="K43" s="135"/>
      <c r="L43" s="133">
        <v>6.1</v>
      </c>
      <c r="M43" s="133">
        <v>2.6</v>
      </c>
      <c r="N43" s="133">
        <v>43.3</v>
      </c>
      <c r="O43" s="133">
        <v>52.9</v>
      </c>
      <c r="P43" s="133">
        <v>140.6</v>
      </c>
      <c r="Q43" s="134">
        <v>27.8</v>
      </c>
    </row>
    <row r="44" spans="1:17" ht="18" customHeight="1" x14ac:dyDescent="0.35">
      <c r="A44" s="140">
        <v>870</v>
      </c>
      <c r="B44" s="122">
        <v>1</v>
      </c>
      <c r="C44" s="135" t="s">
        <v>80</v>
      </c>
      <c r="D44" s="222" t="s">
        <v>157</v>
      </c>
      <c r="E44" s="222" t="s">
        <v>158</v>
      </c>
      <c r="F44" s="222" t="s">
        <v>158</v>
      </c>
      <c r="G44" s="135"/>
      <c r="H44" s="135"/>
      <c r="I44" s="135"/>
      <c r="J44" s="135"/>
      <c r="K44" s="135"/>
      <c r="L44" s="133">
        <v>5.8</v>
      </c>
      <c r="M44" s="133">
        <v>2.2999999999999998</v>
      </c>
      <c r="N44" s="133">
        <v>39.200000000000003</v>
      </c>
      <c r="O44" s="133">
        <v>49.5</v>
      </c>
      <c r="P44" s="133">
        <v>137.30000000000001</v>
      </c>
      <c r="Q44" s="134">
        <v>24</v>
      </c>
    </row>
    <row r="45" spans="1:17" ht="18" hidden="1" customHeight="1" x14ac:dyDescent="0.35">
      <c r="A45" s="140">
        <v>871</v>
      </c>
      <c r="B45" s="122">
        <v>2</v>
      </c>
      <c r="C45" s="135" t="s">
        <v>81</v>
      </c>
      <c r="D45" s="135"/>
      <c r="E45" s="135"/>
      <c r="F45" s="135"/>
      <c r="G45" s="135"/>
      <c r="H45" s="135"/>
      <c r="I45" s="135"/>
      <c r="J45" s="135"/>
      <c r="K45" s="135"/>
      <c r="L45" s="133">
        <v>6.5</v>
      </c>
      <c r="M45" s="133">
        <v>2.4</v>
      </c>
      <c r="N45" s="133">
        <v>43.8</v>
      </c>
      <c r="O45" s="133">
        <v>55.7</v>
      </c>
      <c r="P45" s="133">
        <v>154.19999999999999</v>
      </c>
      <c r="Q45" s="134">
        <v>27.8</v>
      </c>
    </row>
    <row r="46" spans="1:17" ht="18" hidden="1" customHeight="1" x14ac:dyDescent="0.35">
      <c r="A46" s="140">
        <v>872</v>
      </c>
      <c r="B46" s="122">
        <v>2</v>
      </c>
      <c r="C46" s="135" t="s">
        <v>82</v>
      </c>
      <c r="D46" s="135"/>
      <c r="E46" s="135"/>
      <c r="F46" s="135"/>
      <c r="G46" s="135"/>
      <c r="H46" s="135"/>
      <c r="I46" s="135"/>
      <c r="J46" s="135"/>
      <c r="K46" s="135"/>
      <c r="L46" s="133">
        <v>6.2</v>
      </c>
      <c r="M46" s="133">
        <v>2.5</v>
      </c>
      <c r="N46" s="133">
        <v>41.9</v>
      </c>
      <c r="O46" s="133">
        <v>52.9</v>
      </c>
      <c r="P46" s="133">
        <v>147.30000000000001</v>
      </c>
      <c r="Q46" s="134">
        <v>25.6</v>
      </c>
    </row>
    <row r="47" spans="1:17" ht="18" hidden="1" customHeight="1" x14ac:dyDescent="0.35">
      <c r="A47" s="140">
        <v>873</v>
      </c>
      <c r="B47" s="122">
        <v>2</v>
      </c>
      <c r="C47" s="135" t="s">
        <v>64</v>
      </c>
      <c r="D47" s="135"/>
      <c r="E47" s="135"/>
      <c r="F47" s="135"/>
      <c r="G47" s="135"/>
      <c r="H47" s="135"/>
      <c r="I47" s="135"/>
      <c r="J47" s="135"/>
      <c r="K47" s="135"/>
      <c r="L47" s="133">
        <v>6.3</v>
      </c>
      <c r="M47" s="133">
        <v>2.7</v>
      </c>
      <c r="N47" s="133">
        <v>44.6</v>
      </c>
      <c r="O47" s="133">
        <v>54.4</v>
      </c>
      <c r="P47" s="133">
        <v>145</v>
      </c>
      <c r="Q47" s="134">
        <v>28.7</v>
      </c>
    </row>
    <row r="48" spans="1:17" ht="18" hidden="1" customHeight="1" x14ac:dyDescent="0.35">
      <c r="A48" s="140">
        <v>874</v>
      </c>
      <c r="B48" s="122">
        <v>2</v>
      </c>
      <c r="C48" s="135" t="s">
        <v>83</v>
      </c>
      <c r="D48" s="135"/>
      <c r="E48" s="135"/>
      <c r="F48" s="135"/>
      <c r="G48" s="135"/>
      <c r="H48" s="135"/>
      <c r="I48" s="135"/>
      <c r="J48" s="135"/>
      <c r="K48" s="135"/>
      <c r="L48" s="133">
        <v>6.3</v>
      </c>
      <c r="M48" s="133">
        <v>2.5</v>
      </c>
      <c r="N48" s="133">
        <v>43.5</v>
      </c>
      <c r="O48" s="133">
        <v>53.4</v>
      </c>
      <c r="P48" s="133">
        <v>141.30000000000001</v>
      </c>
      <c r="Q48" s="134">
        <v>27.6</v>
      </c>
    </row>
    <row r="49" spans="1:17" ht="18" hidden="1" customHeight="1" x14ac:dyDescent="0.35">
      <c r="A49" s="140">
        <v>875</v>
      </c>
      <c r="B49" s="122">
        <v>2</v>
      </c>
      <c r="C49" s="135" t="s">
        <v>84</v>
      </c>
      <c r="D49" s="135"/>
      <c r="E49" s="135"/>
      <c r="F49" s="135"/>
      <c r="G49" s="135"/>
      <c r="H49" s="135"/>
      <c r="I49" s="135"/>
      <c r="J49" s="135"/>
      <c r="K49" s="135"/>
      <c r="L49" s="133">
        <v>5.8</v>
      </c>
      <c r="M49" s="133">
        <v>2.2000000000000002</v>
      </c>
      <c r="N49" s="133">
        <v>38.9</v>
      </c>
      <c r="O49" s="133">
        <v>49.4</v>
      </c>
      <c r="P49" s="133">
        <v>136.5</v>
      </c>
      <c r="Q49" s="134">
        <v>23.3</v>
      </c>
    </row>
    <row r="50" spans="1:17" ht="18" hidden="1" customHeight="1" x14ac:dyDescent="0.35">
      <c r="A50" s="140">
        <v>876</v>
      </c>
      <c r="B50" s="122">
        <v>2</v>
      </c>
      <c r="C50" s="135" t="s">
        <v>85</v>
      </c>
      <c r="D50" s="135"/>
      <c r="E50" s="135"/>
      <c r="F50" s="135"/>
      <c r="G50" s="135"/>
      <c r="H50" s="135"/>
      <c r="I50" s="135"/>
      <c r="J50" s="135"/>
      <c r="K50" s="135"/>
      <c r="L50" s="133">
        <v>6.5</v>
      </c>
      <c r="M50" s="133">
        <v>2.6</v>
      </c>
      <c r="N50" s="133">
        <v>43.6</v>
      </c>
      <c r="O50" s="133">
        <v>55.1</v>
      </c>
      <c r="P50" s="133">
        <v>153.19999999999999</v>
      </c>
      <c r="Q50" s="134">
        <v>25.6</v>
      </c>
    </row>
    <row r="51" spans="1:17" ht="18" hidden="1" customHeight="1" x14ac:dyDescent="0.35">
      <c r="A51" s="140">
        <v>877</v>
      </c>
      <c r="B51" s="122">
        <v>2</v>
      </c>
      <c r="C51" s="135" t="s">
        <v>86</v>
      </c>
      <c r="D51" s="135"/>
      <c r="E51" s="135"/>
      <c r="F51" s="135"/>
      <c r="G51" s="135"/>
      <c r="H51" s="135"/>
      <c r="I51" s="135"/>
      <c r="J51" s="135"/>
      <c r="K51" s="135"/>
      <c r="L51" s="133">
        <v>6.3</v>
      </c>
      <c r="M51" s="133">
        <v>2.4</v>
      </c>
      <c r="N51" s="133">
        <v>41.6</v>
      </c>
      <c r="O51" s="133">
        <v>52.9</v>
      </c>
      <c r="P51" s="133">
        <v>146.69999999999999</v>
      </c>
      <c r="Q51" s="134">
        <v>25.9</v>
      </c>
    </row>
    <row r="52" spans="1:17" ht="18" hidden="1" customHeight="1" x14ac:dyDescent="0.35">
      <c r="A52" s="140">
        <v>878</v>
      </c>
      <c r="B52" s="122">
        <v>2</v>
      </c>
      <c r="C52" s="135" t="s">
        <v>87</v>
      </c>
      <c r="D52" s="135"/>
      <c r="E52" s="135"/>
      <c r="F52" s="135"/>
      <c r="G52" s="135"/>
      <c r="H52" s="135"/>
      <c r="I52" s="135"/>
      <c r="J52" s="135"/>
      <c r="K52" s="135"/>
      <c r="L52" s="133">
        <v>6.3</v>
      </c>
      <c r="M52" s="133">
        <v>2.7</v>
      </c>
      <c r="N52" s="133">
        <v>44.7</v>
      </c>
      <c r="O52" s="133">
        <v>54.6</v>
      </c>
      <c r="P52" s="133">
        <v>145.6</v>
      </c>
      <c r="Q52" s="134">
        <v>27.7</v>
      </c>
    </row>
    <row r="53" spans="1:17" ht="18" hidden="1" customHeight="1" x14ac:dyDescent="0.35">
      <c r="A53" s="140">
        <v>879</v>
      </c>
      <c r="B53" s="122">
        <v>2</v>
      </c>
      <c r="C53" s="135" t="s">
        <v>88</v>
      </c>
      <c r="D53" s="135"/>
      <c r="E53" s="135"/>
      <c r="F53" s="135"/>
      <c r="G53" s="135"/>
      <c r="H53" s="135"/>
      <c r="I53" s="135"/>
      <c r="J53" s="135"/>
      <c r="K53" s="135"/>
      <c r="L53" s="133">
        <v>5.9</v>
      </c>
      <c r="M53" s="133">
        <v>2.2999999999999998</v>
      </c>
      <c r="N53" s="133">
        <v>40.1</v>
      </c>
      <c r="O53" s="133">
        <v>48.9</v>
      </c>
      <c r="P53" s="133">
        <v>155.19999999999999</v>
      </c>
      <c r="Q53" s="134">
        <v>28.1</v>
      </c>
    </row>
    <row r="54" spans="1:17" ht="18" hidden="1" customHeight="1" x14ac:dyDescent="0.35">
      <c r="A54" s="140">
        <v>447</v>
      </c>
      <c r="B54" s="122">
        <v>2</v>
      </c>
      <c r="C54" s="135" t="s">
        <v>89</v>
      </c>
      <c r="D54" s="135"/>
      <c r="E54" s="135"/>
      <c r="F54" s="135"/>
      <c r="G54" s="135"/>
      <c r="H54" s="135"/>
      <c r="I54" s="135"/>
      <c r="J54" s="135"/>
      <c r="K54" s="135"/>
      <c r="L54" s="133">
        <v>8</v>
      </c>
      <c r="M54" s="113">
        <v>1.9</v>
      </c>
      <c r="N54" s="113">
        <v>48.5</v>
      </c>
      <c r="O54" s="113">
        <v>61.4</v>
      </c>
      <c r="P54" s="113">
        <v>162.30000000000001</v>
      </c>
      <c r="Q54" s="121">
        <v>56.7</v>
      </c>
    </row>
    <row r="55" spans="1:17" ht="18" hidden="1" customHeight="1" x14ac:dyDescent="0.35">
      <c r="A55" s="140">
        <v>448</v>
      </c>
      <c r="B55" s="122">
        <v>1</v>
      </c>
      <c r="C55" s="135" t="s">
        <v>90</v>
      </c>
      <c r="D55" s="135"/>
      <c r="E55" s="135"/>
      <c r="F55" s="135"/>
      <c r="G55" s="135"/>
      <c r="H55" s="135"/>
      <c r="I55" s="135"/>
      <c r="J55" s="135"/>
      <c r="K55" s="135"/>
      <c r="L55" s="113">
        <v>7.4</v>
      </c>
      <c r="M55" s="113">
        <v>1.7</v>
      </c>
      <c r="N55" s="113">
        <v>40.6</v>
      </c>
      <c r="O55" s="113">
        <v>46.9</v>
      </c>
      <c r="P55" s="113">
        <v>126.9</v>
      </c>
      <c r="Q55" s="121">
        <v>57.2</v>
      </c>
    </row>
    <row r="56" spans="1:17" ht="18" hidden="1" customHeight="1" x14ac:dyDescent="0.35">
      <c r="A56" s="140">
        <v>449</v>
      </c>
      <c r="B56" s="122">
        <v>2</v>
      </c>
      <c r="C56" s="135" t="s">
        <v>91</v>
      </c>
      <c r="D56" s="135"/>
      <c r="E56" s="135"/>
      <c r="F56" s="135"/>
      <c r="G56" s="135"/>
      <c r="H56" s="135"/>
      <c r="I56" s="135"/>
      <c r="J56" s="135"/>
      <c r="K56" s="135"/>
      <c r="L56" s="113">
        <v>6.7</v>
      </c>
      <c r="M56" s="113">
        <v>1.6</v>
      </c>
      <c r="N56" s="113">
        <v>37.1</v>
      </c>
      <c r="O56" s="113">
        <v>42.9</v>
      </c>
      <c r="P56" s="113">
        <v>115.9</v>
      </c>
      <c r="Q56" s="121">
        <v>52.5</v>
      </c>
    </row>
    <row r="57" spans="1:17" ht="18" hidden="1" customHeight="1" x14ac:dyDescent="0.35">
      <c r="A57" s="140">
        <v>450</v>
      </c>
      <c r="B57" s="122">
        <v>2</v>
      </c>
      <c r="C57" s="135" t="s">
        <v>92</v>
      </c>
      <c r="D57" s="135"/>
      <c r="E57" s="135"/>
      <c r="F57" s="135"/>
      <c r="G57" s="135"/>
      <c r="H57" s="135"/>
      <c r="I57" s="135"/>
      <c r="J57" s="135"/>
      <c r="K57" s="135"/>
      <c r="L57" s="113">
        <v>7.6</v>
      </c>
      <c r="M57" s="113">
        <v>1.9</v>
      </c>
      <c r="N57" s="113">
        <v>41.2</v>
      </c>
      <c r="O57" s="113">
        <v>47.6</v>
      </c>
      <c r="P57" s="113">
        <v>128.80000000000001</v>
      </c>
      <c r="Q57" s="121">
        <v>58.3</v>
      </c>
    </row>
    <row r="58" spans="1:17" ht="18" hidden="1" customHeight="1" x14ac:dyDescent="0.35">
      <c r="A58" s="140">
        <v>451</v>
      </c>
      <c r="B58" s="122">
        <v>2</v>
      </c>
      <c r="C58" s="135" t="s">
        <v>93</v>
      </c>
      <c r="D58" s="135"/>
      <c r="E58" s="135"/>
      <c r="F58" s="135"/>
      <c r="G58" s="135"/>
      <c r="H58" s="135"/>
      <c r="I58" s="135"/>
      <c r="J58" s="135"/>
      <c r="K58" s="135"/>
      <c r="L58" s="113">
        <v>7.7</v>
      </c>
      <c r="M58" s="113">
        <v>1.7</v>
      </c>
      <c r="N58" s="113">
        <v>39.9</v>
      </c>
      <c r="O58" s="113">
        <v>47.1</v>
      </c>
      <c r="P58" s="113">
        <v>138.4</v>
      </c>
      <c r="Q58" s="121">
        <v>64.099999999999994</v>
      </c>
    </row>
    <row r="59" spans="1:17" ht="18" hidden="1" customHeight="1" x14ac:dyDescent="0.35">
      <c r="A59" s="140">
        <v>452</v>
      </c>
      <c r="B59" s="122">
        <v>2</v>
      </c>
      <c r="C59" s="135" t="s">
        <v>94</v>
      </c>
      <c r="D59" s="135"/>
      <c r="E59" s="135"/>
      <c r="F59" s="135"/>
      <c r="G59" s="135"/>
      <c r="H59" s="135"/>
      <c r="I59" s="135"/>
      <c r="J59" s="135"/>
      <c r="K59" s="135"/>
      <c r="L59" s="113">
        <v>7.5</v>
      </c>
      <c r="M59" s="113">
        <v>1.8</v>
      </c>
      <c r="N59" s="113">
        <v>41.4</v>
      </c>
      <c r="O59" s="113">
        <v>47.9</v>
      </c>
      <c r="P59" s="113">
        <v>129.6</v>
      </c>
      <c r="Q59" s="134">
        <v>58</v>
      </c>
    </row>
    <row r="60" spans="1:17" ht="18" hidden="1" customHeight="1" x14ac:dyDescent="0.35">
      <c r="A60" s="140">
        <v>453</v>
      </c>
      <c r="B60" s="122">
        <v>2</v>
      </c>
      <c r="C60" s="135" t="s">
        <v>95</v>
      </c>
      <c r="D60" s="135"/>
      <c r="E60" s="135"/>
      <c r="F60" s="135"/>
      <c r="G60" s="135"/>
      <c r="H60" s="135"/>
      <c r="I60" s="135"/>
      <c r="J60" s="135"/>
      <c r="K60" s="135"/>
      <c r="L60" s="113">
        <v>8.1</v>
      </c>
      <c r="M60" s="113">
        <v>1.8</v>
      </c>
      <c r="N60" s="113">
        <v>36.6</v>
      </c>
      <c r="O60" s="113">
        <v>42</v>
      </c>
      <c r="P60" s="113">
        <v>113.2</v>
      </c>
      <c r="Q60" s="121">
        <v>60.8</v>
      </c>
    </row>
    <row r="61" spans="1:17" ht="18" hidden="1" customHeight="1" x14ac:dyDescent="0.35">
      <c r="A61" s="140">
        <v>454</v>
      </c>
      <c r="B61" s="122">
        <v>2</v>
      </c>
      <c r="C61" s="135" t="s">
        <v>96</v>
      </c>
      <c r="D61" s="135"/>
      <c r="E61" s="135"/>
      <c r="F61" s="135"/>
      <c r="G61" s="135"/>
      <c r="H61" s="135"/>
      <c r="I61" s="135"/>
      <c r="J61" s="135"/>
      <c r="K61" s="135"/>
      <c r="L61" s="133">
        <v>8.1999999999999993</v>
      </c>
      <c r="M61" s="133">
        <v>1.9</v>
      </c>
      <c r="N61" s="133">
        <v>36.9</v>
      </c>
      <c r="O61" s="133">
        <v>42.3</v>
      </c>
      <c r="P61" s="133">
        <v>114.6</v>
      </c>
      <c r="Q61" s="134">
        <v>61.5</v>
      </c>
    </row>
    <row r="62" spans="1:17" ht="18" hidden="1" customHeight="1" x14ac:dyDescent="0.35">
      <c r="A62" s="140">
        <v>455</v>
      </c>
      <c r="B62" s="122">
        <v>1</v>
      </c>
      <c r="C62" s="135" t="s">
        <v>97</v>
      </c>
      <c r="D62" s="135"/>
      <c r="E62" s="135"/>
      <c r="F62" s="135"/>
      <c r="G62" s="135"/>
      <c r="H62" s="135"/>
      <c r="I62" s="135"/>
      <c r="J62" s="135"/>
      <c r="K62" s="135"/>
      <c r="L62" s="133">
        <v>8.3000000000000007</v>
      </c>
      <c r="M62" s="133">
        <v>2</v>
      </c>
      <c r="N62" s="133">
        <v>36.9</v>
      </c>
      <c r="O62" s="133">
        <v>42.3</v>
      </c>
      <c r="P62" s="133">
        <v>114.5</v>
      </c>
      <c r="Q62" s="134">
        <v>61.4</v>
      </c>
    </row>
    <row r="63" spans="1:17" ht="18" hidden="1" customHeight="1" x14ac:dyDescent="0.35">
      <c r="A63" s="140">
        <v>456</v>
      </c>
      <c r="B63" s="122">
        <v>2</v>
      </c>
      <c r="C63" s="135" t="s">
        <v>98</v>
      </c>
      <c r="D63" s="135"/>
      <c r="E63" s="135"/>
      <c r="F63" s="135"/>
      <c r="G63" s="135"/>
      <c r="H63" s="135"/>
      <c r="I63" s="135"/>
      <c r="J63" s="135"/>
      <c r="K63" s="135"/>
      <c r="L63" s="133">
        <v>8.3000000000000007</v>
      </c>
      <c r="M63" s="133">
        <v>1.3</v>
      </c>
      <c r="N63" s="133">
        <v>36.9</v>
      </c>
      <c r="O63" s="133">
        <v>42.4</v>
      </c>
      <c r="P63" s="133">
        <v>114.7</v>
      </c>
      <c r="Q63" s="134">
        <v>61.2</v>
      </c>
    </row>
    <row r="64" spans="1:17" ht="18" hidden="1" customHeight="1" x14ac:dyDescent="0.35">
      <c r="A64" s="140">
        <v>457</v>
      </c>
      <c r="B64" s="122">
        <v>2</v>
      </c>
      <c r="C64" s="135" t="s">
        <v>99</v>
      </c>
      <c r="D64" s="135"/>
      <c r="E64" s="135"/>
      <c r="F64" s="135"/>
      <c r="G64" s="135"/>
      <c r="H64" s="135"/>
      <c r="I64" s="135"/>
      <c r="J64" s="135"/>
      <c r="K64" s="135"/>
      <c r="L64" s="133">
        <v>8</v>
      </c>
      <c r="M64" s="133">
        <v>1.4</v>
      </c>
      <c r="N64" s="133">
        <v>42.4</v>
      </c>
      <c r="O64" s="133">
        <v>50.7</v>
      </c>
      <c r="P64" s="133">
        <v>133.6</v>
      </c>
      <c r="Q64" s="134">
        <v>53.3</v>
      </c>
    </row>
    <row r="65" spans="1:17" ht="18" hidden="1" customHeight="1" x14ac:dyDescent="0.35">
      <c r="A65" s="140">
        <v>458</v>
      </c>
      <c r="B65" s="122">
        <v>2</v>
      </c>
      <c r="C65" s="135" t="s">
        <v>100</v>
      </c>
      <c r="D65" s="135"/>
      <c r="E65" s="135"/>
      <c r="F65" s="135"/>
      <c r="G65" s="135"/>
      <c r="H65" s="135"/>
      <c r="I65" s="135"/>
      <c r="J65" s="135"/>
      <c r="K65" s="135"/>
      <c r="L65" s="133">
        <v>8.1</v>
      </c>
      <c r="M65" s="133">
        <v>1.8</v>
      </c>
      <c r="N65" s="133">
        <v>39</v>
      </c>
      <c r="O65" s="133">
        <v>49.6</v>
      </c>
      <c r="P65" s="133">
        <v>132.19999999999999</v>
      </c>
      <c r="Q65" s="134">
        <v>57.6</v>
      </c>
    </row>
    <row r="66" spans="1:17" ht="18" hidden="1" customHeight="1" x14ac:dyDescent="0.35">
      <c r="A66" s="140">
        <v>459</v>
      </c>
      <c r="B66" s="122">
        <v>2</v>
      </c>
      <c r="C66" s="135" t="s">
        <v>101</v>
      </c>
      <c r="D66" s="135"/>
      <c r="E66" s="135"/>
      <c r="F66" s="135"/>
      <c r="G66" s="135"/>
      <c r="H66" s="135"/>
      <c r="I66" s="135"/>
      <c r="J66" s="135"/>
      <c r="K66" s="135"/>
      <c r="L66" s="133">
        <v>8.1999999999999993</v>
      </c>
      <c r="M66" s="133">
        <v>1.7</v>
      </c>
      <c r="N66" s="133">
        <v>41.4</v>
      </c>
      <c r="O66" s="133">
        <v>52.8</v>
      </c>
      <c r="P66" s="133">
        <v>141.80000000000001</v>
      </c>
      <c r="Q66" s="134">
        <v>61.2</v>
      </c>
    </row>
    <row r="67" spans="1:17" ht="18" hidden="1" customHeight="1" x14ac:dyDescent="0.35">
      <c r="A67" s="140">
        <v>460</v>
      </c>
      <c r="B67" s="122">
        <v>2</v>
      </c>
      <c r="C67" s="135" t="s">
        <v>102</v>
      </c>
      <c r="D67" s="135"/>
      <c r="E67" s="135"/>
      <c r="F67" s="135"/>
      <c r="G67" s="135"/>
      <c r="H67" s="135"/>
      <c r="I67" s="135"/>
      <c r="J67" s="135"/>
      <c r="K67" s="135"/>
      <c r="L67" s="133">
        <v>8.4</v>
      </c>
      <c r="M67" s="133">
        <v>1.8</v>
      </c>
      <c r="N67" s="133">
        <v>42.9</v>
      </c>
      <c r="O67" s="133">
        <v>54.9</v>
      </c>
      <c r="P67" s="133">
        <v>147</v>
      </c>
      <c r="Q67" s="134">
        <v>63.4</v>
      </c>
    </row>
    <row r="68" spans="1:17" ht="18" hidden="1" customHeight="1" x14ac:dyDescent="0.35">
      <c r="A68" s="140">
        <v>461</v>
      </c>
      <c r="B68" s="122">
        <v>2</v>
      </c>
      <c r="C68" s="135" t="s">
        <v>103</v>
      </c>
      <c r="D68" s="135"/>
      <c r="E68" s="135"/>
      <c r="F68" s="135"/>
      <c r="G68" s="135"/>
      <c r="H68" s="135"/>
      <c r="I68" s="135"/>
      <c r="J68" s="135"/>
      <c r="K68" s="135"/>
      <c r="L68" s="133">
        <v>8.4</v>
      </c>
      <c r="M68" s="133">
        <v>1.8</v>
      </c>
      <c r="N68" s="133">
        <v>43.1</v>
      </c>
      <c r="O68" s="133">
        <v>55</v>
      </c>
      <c r="P68" s="133">
        <v>147.30000000000001</v>
      </c>
      <c r="Q68" s="134">
        <v>64</v>
      </c>
    </row>
    <row r="69" spans="1:17" ht="18" hidden="1" customHeight="1" x14ac:dyDescent="0.35">
      <c r="A69" s="140">
        <v>462</v>
      </c>
      <c r="B69" s="122">
        <v>2</v>
      </c>
      <c r="C69" s="135" t="s">
        <v>104</v>
      </c>
      <c r="D69" s="135"/>
      <c r="E69" s="135"/>
      <c r="F69" s="135"/>
      <c r="G69" s="135"/>
      <c r="H69" s="135"/>
      <c r="I69" s="135"/>
      <c r="J69" s="135"/>
      <c r="K69" s="135"/>
      <c r="L69" s="133">
        <v>8.3000000000000007</v>
      </c>
      <c r="M69" s="133">
        <v>1.8</v>
      </c>
      <c r="N69" s="133">
        <v>43</v>
      </c>
      <c r="O69" s="133">
        <v>54.9</v>
      </c>
      <c r="P69" s="133">
        <v>146.80000000000001</v>
      </c>
      <c r="Q69" s="134">
        <v>63.7</v>
      </c>
    </row>
    <row r="70" spans="1:17" ht="18" hidden="1" customHeight="1" x14ac:dyDescent="0.35">
      <c r="A70" s="140">
        <v>463</v>
      </c>
      <c r="B70" s="122">
        <v>2</v>
      </c>
      <c r="C70" s="135" t="s">
        <v>105</v>
      </c>
      <c r="D70" s="135"/>
      <c r="E70" s="135"/>
      <c r="F70" s="135"/>
      <c r="G70" s="135"/>
      <c r="H70" s="135"/>
      <c r="I70" s="135"/>
      <c r="J70" s="135"/>
      <c r="K70" s="135"/>
      <c r="L70" s="133">
        <v>8.5</v>
      </c>
      <c r="M70" s="133">
        <v>0.9</v>
      </c>
      <c r="N70" s="133">
        <v>37.5</v>
      </c>
      <c r="O70" s="133">
        <v>49</v>
      </c>
      <c r="P70" s="133">
        <v>129.6</v>
      </c>
      <c r="Q70" s="134">
        <v>53.6</v>
      </c>
    </row>
    <row r="71" spans="1:17" ht="18" hidden="1" customHeight="1" x14ac:dyDescent="0.35">
      <c r="A71" s="140">
        <v>464</v>
      </c>
      <c r="B71" s="122">
        <v>3</v>
      </c>
      <c r="C71" s="135" t="s">
        <v>106</v>
      </c>
      <c r="D71" s="135"/>
      <c r="E71" s="135"/>
      <c r="F71" s="135"/>
      <c r="G71" s="135"/>
      <c r="H71" s="135"/>
      <c r="I71" s="135"/>
      <c r="J71" s="135"/>
      <c r="K71" s="135"/>
      <c r="L71" s="133">
        <v>8.6</v>
      </c>
      <c r="M71" s="133">
        <v>1.4</v>
      </c>
      <c r="N71" s="133">
        <v>38</v>
      </c>
      <c r="O71" s="133">
        <v>49.4</v>
      </c>
      <c r="P71" s="133">
        <v>131.1</v>
      </c>
      <c r="Q71" s="134">
        <v>54</v>
      </c>
    </row>
    <row r="72" spans="1:17" ht="18" hidden="1" customHeight="1" x14ac:dyDescent="0.35">
      <c r="A72" s="140">
        <v>465</v>
      </c>
      <c r="B72" s="122">
        <v>1</v>
      </c>
      <c r="C72" s="135" t="s">
        <v>107</v>
      </c>
      <c r="D72" s="135"/>
      <c r="E72" s="135"/>
      <c r="F72" s="135"/>
      <c r="G72" s="135"/>
      <c r="H72" s="135"/>
      <c r="I72" s="135"/>
      <c r="J72" s="135"/>
      <c r="K72" s="135"/>
      <c r="L72" s="133">
        <v>8.5</v>
      </c>
      <c r="M72" s="133">
        <v>1.4</v>
      </c>
      <c r="N72" s="133">
        <v>38</v>
      </c>
      <c r="O72" s="133">
        <v>49.4</v>
      </c>
      <c r="P72" s="133">
        <v>131.5</v>
      </c>
      <c r="Q72" s="134">
        <v>53.9</v>
      </c>
    </row>
    <row r="73" spans="1:17" ht="18" hidden="1" customHeight="1" x14ac:dyDescent="0.35">
      <c r="A73" s="140">
        <v>466</v>
      </c>
      <c r="B73" s="122">
        <v>3</v>
      </c>
      <c r="C73" s="135" t="s">
        <v>108</v>
      </c>
      <c r="D73" s="135"/>
      <c r="E73" s="135"/>
      <c r="F73" s="135"/>
      <c r="G73" s="135"/>
      <c r="H73" s="135"/>
      <c r="I73" s="135"/>
      <c r="J73" s="135"/>
      <c r="K73" s="135"/>
      <c r="L73" s="133">
        <v>8.3000000000000007</v>
      </c>
      <c r="M73" s="133">
        <v>1.1000000000000001</v>
      </c>
      <c r="N73" s="133">
        <v>38.200000000000003</v>
      </c>
      <c r="O73" s="133">
        <v>49.8</v>
      </c>
      <c r="P73" s="133">
        <v>132.1</v>
      </c>
      <c r="Q73" s="134">
        <v>54.3</v>
      </c>
    </row>
    <row r="74" spans="1:17" ht="18" hidden="1" customHeight="1" x14ac:dyDescent="0.35">
      <c r="A74" s="140">
        <v>467</v>
      </c>
      <c r="B74" s="122">
        <v>2</v>
      </c>
      <c r="C74" s="135" t="s">
        <v>109</v>
      </c>
      <c r="D74" s="135"/>
      <c r="E74" s="135"/>
      <c r="F74" s="135"/>
      <c r="G74" s="135"/>
      <c r="H74" s="135"/>
      <c r="I74" s="135"/>
      <c r="J74" s="135"/>
      <c r="K74" s="135"/>
      <c r="L74" s="133">
        <v>8.5</v>
      </c>
      <c r="M74" s="133">
        <v>1</v>
      </c>
      <c r="N74" s="133">
        <v>37.4</v>
      </c>
      <c r="O74" s="133">
        <v>48.7</v>
      </c>
      <c r="P74" s="133">
        <v>129</v>
      </c>
      <c r="Q74" s="134">
        <v>52.6</v>
      </c>
    </row>
    <row r="75" spans="1:17" ht="18" hidden="1" customHeight="1" x14ac:dyDescent="0.35">
      <c r="A75" s="140">
        <v>468</v>
      </c>
      <c r="B75" s="122">
        <v>2</v>
      </c>
      <c r="C75" s="135" t="s">
        <v>110</v>
      </c>
      <c r="D75" s="135"/>
      <c r="E75" s="135"/>
      <c r="F75" s="135"/>
      <c r="G75" s="135"/>
      <c r="H75" s="135"/>
      <c r="I75" s="135"/>
      <c r="J75" s="135"/>
      <c r="K75" s="135"/>
      <c r="L75" s="133">
        <v>8.3000000000000007</v>
      </c>
      <c r="M75" s="133">
        <v>1.6</v>
      </c>
      <c r="N75" s="133">
        <v>46.3</v>
      </c>
      <c r="O75" s="133">
        <v>42.3</v>
      </c>
      <c r="P75" s="133">
        <v>120.2</v>
      </c>
      <c r="Q75" s="134">
        <v>60.8</v>
      </c>
    </row>
    <row r="76" spans="1:17" ht="18" hidden="1" customHeight="1" x14ac:dyDescent="0.35">
      <c r="A76" s="140">
        <v>469</v>
      </c>
      <c r="B76" s="122">
        <v>2</v>
      </c>
      <c r="C76" s="135" t="s">
        <v>111</v>
      </c>
      <c r="D76" s="135"/>
      <c r="E76" s="135"/>
      <c r="F76" s="135"/>
      <c r="G76" s="135"/>
      <c r="H76" s="135"/>
      <c r="I76" s="135"/>
      <c r="J76" s="135"/>
      <c r="K76" s="135"/>
      <c r="L76" s="133">
        <v>8.8000000000000007</v>
      </c>
      <c r="M76" s="133">
        <v>2.1</v>
      </c>
      <c r="N76" s="133">
        <v>46</v>
      </c>
      <c r="O76" s="133">
        <v>42.2</v>
      </c>
      <c r="P76" s="133">
        <v>120.4</v>
      </c>
      <c r="Q76" s="134">
        <v>60.6</v>
      </c>
    </row>
    <row r="77" spans="1:17" ht="18" hidden="1" customHeight="1" x14ac:dyDescent="0.35">
      <c r="A77" s="140">
        <v>470</v>
      </c>
      <c r="B77" s="122">
        <v>3</v>
      </c>
      <c r="C77" s="135" t="s">
        <v>112</v>
      </c>
      <c r="D77" s="135"/>
      <c r="E77" s="135"/>
      <c r="F77" s="135"/>
      <c r="G77" s="135"/>
      <c r="H77" s="135"/>
      <c r="I77" s="135"/>
      <c r="J77" s="135"/>
      <c r="K77" s="135"/>
      <c r="L77" s="133">
        <v>8.3000000000000007</v>
      </c>
      <c r="M77" s="133">
        <v>1.9</v>
      </c>
      <c r="N77" s="133">
        <v>42.6</v>
      </c>
      <c r="O77" s="133">
        <v>48.8</v>
      </c>
      <c r="P77" s="133">
        <v>137.69999999999999</v>
      </c>
      <c r="Q77" s="134">
        <v>56.7</v>
      </c>
    </row>
    <row r="78" spans="1:17" ht="18" hidden="1" customHeight="1" x14ac:dyDescent="0.3">
      <c r="A78" s="140">
        <v>476</v>
      </c>
      <c r="B78" s="122">
        <v>2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33">
        <v>8.6999999999999993</v>
      </c>
      <c r="M78" s="133">
        <v>2.1</v>
      </c>
      <c r="N78" s="133">
        <v>45.2</v>
      </c>
      <c r="O78" s="133">
        <v>54.6</v>
      </c>
      <c r="P78" s="133">
        <v>136.9</v>
      </c>
      <c r="Q78" s="134">
        <v>63.5</v>
      </c>
    </row>
    <row r="79" spans="1:17" ht="18" hidden="1" customHeight="1" x14ac:dyDescent="0.35">
      <c r="A79" s="140">
        <v>477</v>
      </c>
      <c r="B79" s="136">
        <v>2</v>
      </c>
      <c r="C79" s="137" t="s">
        <v>113</v>
      </c>
      <c r="D79" s="137"/>
      <c r="E79" s="137"/>
      <c r="F79" s="137"/>
      <c r="G79" s="137"/>
      <c r="H79" s="137"/>
      <c r="I79" s="137"/>
      <c r="J79" s="137"/>
      <c r="K79" s="137"/>
      <c r="L79" s="138">
        <v>8.5</v>
      </c>
      <c r="M79" s="138">
        <v>2.1</v>
      </c>
      <c r="N79" s="138">
        <v>45</v>
      </c>
      <c r="O79" s="138">
        <v>54.3</v>
      </c>
      <c r="P79" s="138">
        <v>136.19999999999999</v>
      </c>
      <c r="Q79" s="139">
        <v>62.8</v>
      </c>
    </row>
    <row r="80" spans="1:17" ht="18" customHeight="1" x14ac:dyDescent="0.3">
      <c r="A80" s="22"/>
      <c r="L80" s="15"/>
      <c r="M80" s="15"/>
      <c r="N80" s="15"/>
      <c r="O80" s="15"/>
      <c r="P80" s="15"/>
      <c r="Q80" s="15"/>
    </row>
    <row r="81" spans="1:17" ht="18" customHeight="1" x14ac:dyDescent="0.3">
      <c r="A81" s="22"/>
      <c r="L81" s="15"/>
      <c r="M81" s="15"/>
      <c r="N81" s="15"/>
      <c r="O81" s="15"/>
      <c r="P81" s="15"/>
      <c r="Q81" s="15"/>
    </row>
    <row r="82" spans="1:17" ht="18" customHeight="1" x14ac:dyDescent="0.3">
      <c r="A82" s="22"/>
      <c r="L82" s="15"/>
      <c r="M82" s="15"/>
      <c r="N82" s="15"/>
      <c r="O82" s="15"/>
      <c r="P82" s="15"/>
      <c r="Q82" s="15"/>
    </row>
    <row r="83" spans="1:17" ht="18" customHeight="1" x14ac:dyDescent="0.3">
      <c r="A83" s="22"/>
      <c r="L83" s="15"/>
      <c r="M83" s="15"/>
      <c r="N83" s="15"/>
      <c r="O83" s="15"/>
      <c r="P83" s="15"/>
      <c r="Q83" s="15"/>
    </row>
    <row r="84" spans="1:17" ht="18" customHeight="1" x14ac:dyDescent="0.3">
      <c r="A84" s="22"/>
      <c r="L84" s="15"/>
      <c r="M84" s="15"/>
      <c r="N84" s="15"/>
      <c r="O84" s="15"/>
      <c r="P84" s="15"/>
      <c r="Q84" s="15"/>
    </row>
    <row r="85" spans="1:17" ht="18" customHeight="1" x14ac:dyDescent="0.3">
      <c r="A85" s="22"/>
      <c r="L85" s="15"/>
      <c r="M85" s="15"/>
      <c r="N85" s="15"/>
      <c r="O85" s="15"/>
      <c r="P85" s="15"/>
      <c r="Q85" s="15"/>
    </row>
    <row r="86" spans="1:17" ht="18" customHeight="1" x14ac:dyDescent="0.3">
      <c r="A86" s="22"/>
      <c r="L86" s="15"/>
      <c r="M86" s="15"/>
      <c r="N86" s="15"/>
      <c r="O86" s="15"/>
      <c r="P86" s="15"/>
      <c r="Q86" s="15"/>
    </row>
    <row r="87" spans="1:17" ht="18" customHeight="1" x14ac:dyDescent="0.3">
      <c r="A87" s="22"/>
      <c r="L87" s="15"/>
      <c r="M87" s="15"/>
      <c r="N87" s="15"/>
      <c r="O87" s="15"/>
      <c r="P87" s="15"/>
      <c r="Q87" s="15"/>
    </row>
    <row r="88" spans="1:17" ht="18" customHeight="1" x14ac:dyDescent="0.3">
      <c r="A88" s="22"/>
      <c r="L88" s="15"/>
      <c r="M88" s="15"/>
      <c r="N88" s="15"/>
      <c r="O88" s="15"/>
      <c r="P88" s="15"/>
      <c r="Q88" s="15"/>
    </row>
    <row r="89" spans="1:17" ht="18" customHeight="1" x14ac:dyDescent="0.3">
      <c r="A89" s="22"/>
      <c r="L89" s="15"/>
      <c r="M89" s="15"/>
      <c r="N89" s="15"/>
      <c r="O89" s="15"/>
      <c r="P89" s="15"/>
      <c r="Q89" s="15"/>
    </row>
    <row r="90" spans="1:17" ht="18" customHeight="1" x14ac:dyDescent="0.3">
      <c r="A90" s="22"/>
      <c r="L90" s="15"/>
      <c r="M90" s="15"/>
      <c r="N90" s="15"/>
      <c r="O90" s="15"/>
      <c r="P90" s="15"/>
      <c r="Q90" s="15"/>
    </row>
    <row r="91" spans="1:17" ht="18" customHeight="1" x14ac:dyDescent="0.3">
      <c r="A91" s="22"/>
      <c r="L91" s="15"/>
      <c r="M91" s="15"/>
      <c r="N91" s="15"/>
      <c r="O91" s="15"/>
      <c r="P91" s="15"/>
      <c r="Q91" s="15"/>
    </row>
    <row r="92" spans="1:17" ht="18" customHeight="1" x14ac:dyDescent="0.3">
      <c r="A92" s="22"/>
      <c r="L92" s="15"/>
      <c r="M92" s="15"/>
      <c r="N92" s="15"/>
      <c r="O92" s="15"/>
      <c r="P92" s="15"/>
      <c r="Q92" s="15"/>
    </row>
    <row r="93" spans="1:17" ht="18" customHeight="1" x14ac:dyDescent="0.3">
      <c r="A93" s="22"/>
      <c r="L93" s="15"/>
      <c r="M93" s="15"/>
      <c r="N93" s="15"/>
      <c r="O93" s="15"/>
      <c r="P93" s="15"/>
      <c r="Q93" s="15"/>
    </row>
    <row r="94" spans="1:17" ht="18" customHeight="1" x14ac:dyDescent="0.3">
      <c r="L94" s="15"/>
      <c r="M94" s="15"/>
      <c r="N94" s="15"/>
      <c r="O94" s="15"/>
      <c r="P94" s="15"/>
      <c r="Q94" s="15"/>
    </row>
    <row r="95" spans="1:17" ht="18" customHeight="1" x14ac:dyDescent="0.3">
      <c r="L95" s="15"/>
      <c r="M95" s="15"/>
      <c r="N95" s="15"/>
      <c r="O95" s="15"/>
      <c r="P95" s="15"/>
      <c r="Q95" s="15"/>
    </row>
    <row r="96" spans="1:17" ht="18" customHeight="1" x14ac:dyDescent="0.3">
      <c r="L96" s="15"/>
      <c r="M96" s="15"/>
      <c r="N96" s="15"/>
      <c r="O96" s="15"/>
      <c r="P96" s="15"/>
      <c r="Q96" s="15"/>
    </row>
    <row r="97" spans="12:17" ht="18" customHeight="1" x14ac:dyDescent="0.3">
      <c r="L97" s="15"/>
      <c r="M97" s="15"/>
      <c r="N97" s="15"/>
      <c r="O97" s="15"/>
      <c r="P97" s="15"/>
      <c r="Q97" s="15"/>
    </row>
    <row r="98" spans="12:17" ht="18" customHeight="1" x14ac:dyDescent="0.3">
      <c r="L98" s="15"/>
      <c r="M98" s="15"/>
      <c r="N98" s="15"/>
      <c r="O98" s="15"/>
      <c r="P98" s="15"/>
      <c r="Q98" s="15"/>
    </row>
    <row r="99" spans="12:17" ht="18" customHeight="1" x14ac:dyDescent="0.3">
      <c r="L99" s="15"/>
      <c r="M99" s="15"/>
      <c r="N99" s="15"/>
      <c r="O99" s="15"/>
      <c r="P99" s="15"/>
      <c r="Q99" s="15"/>
    </row>
    <row r="100" spans="12:17" ht="18" customHeight="1" x14ac:dyDescent="0.3">
      <c r="L100" s="15"/>
      <c r="M100" s="15"/>
      <c r="N100" s="15"/>
      <c r="O100" s="15"/>
      <c r="P100" s="15"/>
      <c r="Q100" s="15"/>
    </row>
    <row r="101" spans="12:17" ht="18" customHeight="1" x14ac:dyDescent="0.3">
      <c r="L101" s="15"/>
      <c r="M101" s="15"/>
      <c r="N101" s="15"/>
      <c r="O101" s="15"/>
      <c r="P101" s="15"/>
      <c r="Q101" s="15"/>
    </row>
    <row r="102" spans="12:17" ht="18" customHeight="1" x14ac:dyDescent="0.3">
      <c r="L102" s="15"/>
      <c r="M102" s="15"/>
      <c r="N102" s="15"/>
      <c r="O102" s="15"/>
      <c r="P102" s="15"/>
      <c r="Q102" s="15"/>
    </row>
    <row r="103" spans="12:17" ht="18" customHeight="1" x14ac:dyDescent="0.3">
      <c r="L103" s="15"/>
      <c r="M103" s="15"/>
      <c r="N103" s="15"/>
      <c r="O103" s="15"/>
      <c r="P103" s="15"/>
      <c r="Q103" s="15"/>
    </row>
    <row r="104" spans="12:17" ht="18" customHeight="1" x14ac:dyDescent="0.3">
      <c r="L104" s="15"/>
      <c r="M104" s="15"/>
      <c r="N104" s="15"/>
      <c r="O104" s="15"/>
      <c r="P104" s="15"/>
      <c r="Q104" s="15"/>
    </row>
    <row r="105" spans="12:17" ht="18" customHeight="1" x14ac:dyDescent="0.3">
      <c r="L105" s="15"/>
      <c r="M105" s="15"/>
      <c r="N105" s="15"/>
      <c r="O105" s="15"/>
      <c r="P105" s="15"/>
      <c r="Q105" s="15"/>
    </row>
    <row r="106" spans="12:17" ht="18" customHeight="1" x14ac:dyDescent="0.3">
      <c r="L106" s="15"/>
      <c r="M106" s="15"/>
      <c r="N106" s="15"/>
      <c r="O106" s="15"/>
      <c r="P106" s="15"/>
      <c r="Q106" s="15"/>
    </row>
    <row r="107" spans="12:17" ht="18" customHeight="1" x14ac:dyDescent="0.3">
      <c r="L107" s="15"/>
      <c r="M107" s="15"/>
      <c r="N107" s="15"/>
      <c r="O107" s="15"/>
      <c r="P107" s="15"/>
      <c r="Q107" s="15"/>
    </row>
    <row r="108" spans="12:17" ht="18" customHeight="1" x14ac:dyDescent="0.3">
      <c r="L108" s="15"/>
      <c r="M108" s="15"/>
      <c r="N108" s="15"/>
      <c r="O108" s="15"/>
      <c r="P108" s="15"/>
      <c r="Q108" s="15"/>
    </row>
    <row r="109" spans="12:17" x14ac:dyDescent="0.3">
      <c r="L109" s="15"/>
      <c r="M109" s="15"/>
      <c r="N109" s="15"/>
      <c r="O109" s="15"/>
      <c r="P109" s="15"/>
      <c r="Q109" s="15"/>
    </row>
    <row r="110" spans="12:17" x14ac:dyDescent="0.3">
      <c r="L110" s="15"/>
      <c r="M110" s="15"/>
      <c r="N110" s="15"/>
      <c r="O110" s="15"/>
      <c r="P110" s="15"/>
      <c r="Q110" s="15"/>
    </row>
    <row r="111" spans="12:17" x14ac:dyDescent="0.3">
      <c r="L111" s="15"/>
      <c r="M111" s="15"/>
      <c r="N111" s="15"/>
      <c r="O111" s="15"/>
      <c r="P111" s="15"/>
      <c r="Q111" s="15"/>
    </row>
    <row r="112" spans="12:17" x14ac:dyDescent="0.3">
      <c r="L112" s="15"/>
      <c r="M112" s="15"/>
      <c r="N112" s="15"/>
      <c r="O112" s="15"/>
      <c r="P112" s="15"/>
      <c r="Q112" s="15"/>
    </row>
    <row r="113" spans="12:17" x14ac:dyDescent="0.3">
      <c r="L113" s="15"/>
      <c r="M113" s="15"/>
      <c r="N113" s="15"/>
      <c r="O113" s="15"/>
      <c r="P113" s="15"/>
      <c r="Q113" s="15"/>
    </row>
    <row r="114" spans="12:17" x14ac:dyDescent="0.3">
      <c r="L114" s="15"/>
      <c r="M114" s="15"/>
      <c r="N114" s="15"/>
      <c r="O114" s="15"/>
      <c r="P114" s="15"/>
      <c r="Q114" s="15"/>
    </row>
    <row r="115" spans="12:17" x14ac:dyDescent="0.3">
      <c r="L115" s="15"/>
      <c r="M115" s="15"/>
      <c r="N115" s="15"/>
      <c r="O115" s="15"/>
      <c r="P115" s="15"/>
      <c r="Q115" s="15"/>
    </row>
    <row r="116" spans="12:17" x14ac:dyDescent="0.3">
      <c r="L116" s="15"/>
      <c r="M116" s="15"/>
      <c r="N116" s="15"/>
      <c r="O116" s="15"/>
      <c r="P116" s="15"/>
      <c r="Q116" s="15"/>
    </row>
    <row r="117" spans="12:17" x14ac:dyDescent="0.3">
      <c r="L117" s="15"/>
      <c r="M117" s="15"/>
      <c r="N117" s="15"/>
      <c r="O117" s="15"/>
      <c r="P117" s="15"/>
      <c r="Q117" s="15"/>
    </row>
    <row r="118" spans="12:17" x14ac:dyDescent="0.3">
      <c r="L118" s="15"/>
      <c r="M118" s="15"/>
      <c r="N118" s="15"/>
      <c r="O118" s="15"/>
      <c r="P118" s="15"/>
      <c r="Q118" s="15"/>
    </row>
    <row r="119" spans="12:17" x14ac:dyDescent="0.3">
      <c r="L119" s="15"/>
      <c r="M119" s="15"/>
      <c r="N119" s="15"/>
      <c r="O119" s="15"/>
      <c r="P119" s="15"/>
      <c r="Q119" s="15"/>
    </row>
    <row r="120" spans="12:17" x14ac:dyDescent="0.3">
      <c r="L120" s="15"/>
      <c r="M120" s="15"/>
      <c r="N120" s="15"/>
      <c r="O120" s="15"/>
      <c r="P120" s="15"/>
      <c r="Q120" s="15"/>
    </row>
    <row r="121" spans="12:17" x14ac:dyDescent="0.3">
      <c r="L121" s="15"/>
      <c r="M121" s="15"/>
      <c r="N121" s="15"/>
      <c r="O121" s="15"/>
      <c r="P121" s="15"/>
      <c r="Q121" s="15"/>
    </row>
    <row r="122" spans="12:17" x14ac:dyDescent="0.3">
      <c r="L122" s="15"/>
      <c r="M122" s="15"/>
      <c r="N122" s="15"/>
      <c r="O122" s="15"/>
      <c r="P122" s="15"/>
      <c r="Q122" s="15"/>
    </row>
    <row r="123" spans="12:17" x14ac:dyDescent="0.3">
      <c r="L123" s="15"/>
      <c r="M123" s="15"/>
      <c r="N123" s="15"/>
      <c r="O123" s="15"/>
      <c r="P123" s="15"/>
      <c r="Q123" s="15"/>
    </row>
    <row r="124" spans="12:17" x14ac:dyDescent="0.3">
      <c r="L124" s="15"/>
      <c r="M124" s="15"/>
      <c r="N124" s="15"/>
      <c r="O124" s="15"/>
      <c r="P124" s="15"/>
      <c r="Q124" s="15"/>
    </row>
    <row r="125" spans="12:17" x14ac:dyDescent="0.3">
      <c r="L125" s="15"/>
      <c r="M125" s="15"/>
      <c r="N125" s="15"/>
      <c r="O125" s="15"/>
      <c r="P125" s="15"/>
      <c r="Q125" s="15"/>
    </row>
    <row r="126" spans="12:17" x14ac:dyDescent="0.3">
      <c r="L126" s="15"/>
      <c r="M126" s="15"/>
      <c r="N126" s="15"/>
      <c r="O126" s="15"/>
      <c r="P126" s="15"/>
      <c r="Q126" s="15"/>
    </row>
    <row r="127" spans="12:17" x14ac:dyDescent="0.3">
      <c r="L127" s="15"/>
      <c r="M127" s="15"/>
      <c r="N127" s="15"/>
      <c r="O127" s="15"/>
      <c r="P127" s="15"/>
      <c r="Q127" s="15"/>
    </row>
    <row r="128" spans="12:17" x14ac:dyDescent="0.3">
      <c r="L128" s="15"/>
      <c r="M128" s="15"/>
      <c r="N128" s="15"/>
      <c r="O128" s="15"/>
      <c r="P128" s="15"/>
      <c r="Q128" s="15"/>
    </row>
    <row r="129" spans="12:17" x14ac:dyDescent="0.3">
      <c r="L129" s="15"/>
      <c r="M129" s="15"/>
      <c r="N129" s="15"/>
      <c r="O129" s="15"/>
      <c r="P129" s="15"/>
      <c r="Q129" s="15"/>
    </row>
    <row r="130" spans="12:17" x14ac:dyDescent="0.3">
      <c r="L130" s="15"/>
      <c r="M130" s="15"/>
      <c r="N130" s="15"/>
      <c r="O130" s="15"/>
      <c r="P130" s="15"/>
      <c r="Q130" s="15"/>
    </row>
    <row r="131" spans="12:17" x14ac:dyDescent="0.3">
      <c r="L131" s="15"/>
      <c r="M131" s="15"/>
      <c r="N131" s="15"/>
      <c r="O131" s="15"/>
      <c r="P131" s="15"/>
      <c r="Q131" s="15"/>
    </row>
    <row r="132" spans="12:17" x14ac:dyDescent="0.3">
      <c r="L132" s="15"/>
      <c r="M132" s="15"/>
      <c r="N132" s="15"/>
      <c r="O132" s="15"/>
      <c r="P132" s="15"/>
      <c r="Q132" s="15"/>
    </row>
  </sheetData>
  <mergeCells count="1">
    <mergeCell ref="B1:Q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01BB2603A62B4AAF8E69F270993597" ma:contentTypeVersion="8" ma:contentTypeDescription="Create a new document." ma:contentTypeScope="" ma:versionID="a77404fb74f8b49974c5a613b1e96803">
  <xsd:schema xmlns:xsd="http://www.w3.org/2001/XMLSchema" xmlns:xs="http://www.w3.org/2001/XMLSchema" xmlns:p="http://schemas.microsoft.com/office/2006/metadata/properties" xmlns:ns1="http://schemas.microsoft.com/sharepoint/v3" xmlns:ns2="41c9fc32-8fb3-4a86-b78e-17181429cd28" xmlns:ns3="6eac670f-13cd-47a1-b26e-1968903349d5" targetNamespace="http://schemas.microsoft.com/office/2006/metadata/properties" ma:root="true" ma:fieldsID="3e6d776249d9c802af436780280ee744" ns1:_="" ns2:_="" ns3:_="">
    <xsd:import namespace="http://schemas.microsoft.com/sharepoint/v3"/>
    <xsd:import namespace="41c9fc32-8fb3-4a86-b78e-17181429cd28"/>
    <xsd:import namespace="6eac670f-13cd-47a1-b26e-1968903349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9fc32-8fb3-4a86-b78e-17181429cd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c670f-13cd-47a1-b26e-1968903349d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DD0935E-6B67-41C6-8302-A775D7AB31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23C4BF-7A3D-4089-8846-69FD2CC9F3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1c9fc32-8fb3-4a86-b78e-17181429cd28"/>
    <ds:schemaRef ds:uri="6eac670f-13cd-47a1-b26e-1968903349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521875-19EF-4BDB-A5F0-E57AA841D86A}">
  <ds:schemaRefs>
    <ds:schemaRef ds:uri="http://www.w3.org/XML/1998/namespace"/>
    <ds:schemaRef ds:uri="41c9fc32-8fb3-4a86-b78e-17181429cd28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6eac670f-13cd-47a1-b26e-1968903349d5"/>
    <ds:schemaRef ds:uri="http://schemas.microsoft.com/sharepoint/v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Mashing</vt:lpstr>
      <vt:lpstr>Fermentation</vt:lpstr>
      <vt:lpstr>Wash Still Distillation</vt:lpstr>
      <vt:lpstr>Spirit Still Distillation</vt:lpstr>
      <vt:lpstr>Output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2018-07-20T13:30:27Z</dcterms:created>
  <dcterms:modified xsi:type="dcterms:W3CDTF">2024-09-20T09:13:07Z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45c4d13e-8d5b-4fb4-82c5-ebd454ad6c39</vt:lpwstr>
  </property>
  <property fmtid="{D5CDD505-2E9C-101B-9397-08002B2CF9AE}" pid="3" name="Information Classification">
    <vt:lpwstr>General</vt:lpwstr>
  </property>
  <property fmtid="{D5CDD505-2E9C-101B-9397-08002B2CF9AE}" pid="4" name="ContentTypeId">
    <vt:lpwstr>0x010100FA01BB2603A62B4AAF8E69F270993597</vt:lpwstr>
  </property>
  <property fmtid="{D5CDD505-2E9C-101B-9397-08002B2CF9AE}" pid="5" name="MSIP_Label_8b1d8bd7-7e7b-4949-9680-d82491da45c6_Enabled">
    <vt:lpwstr>true</vt:lpwstr>
  </property>
  <property fmtid="{D5CDD505-2E9C-101B-9397-08002B2CF9AE}" pid="6" name="MSIP_Label_8b1d8bd7-7e7b-4949-9680-d82491da45c6_SetDate">
    <vt:lpwstr>2024-05-21T11:08:44Z</vt:lpwstr>
  </property>
  <property fmtid="{D5CDD505-2E9C-101B-9397-08002B2CF9AE}" pid="7" name="MSIP_Label_8b1d8bd7-7e7b-4949-9680-d82491da45c6_Method">
    <vt:lpwstr>Privileged</vt:lpwstr>
  </property>
  <property fmtid="{D5CDD505-2E9C-101B-9397-08002B2CF9AE}" pid="8" name="MSIP_Label_8b1d8bd7-7e7b-4949-9680-d82491da45c6_Name">
    <vt:lpwstr>Any Recipient_0</vt:lpwstr>
  </property>
  <property fmtid="{D5CDD505-2E9C-101B-9397-08002B2CF9AE}" pid="9" name="MSIP_Label_8b1d8bd7-7e7b-4949-9680-d82491da45c6_SiteId">
    <vt:lpwstr>88ed286b-88d8-4faf-918f-883d693321ae</vt:lpwstr>
  </property>
  <property fmtid="{D5CDD505-2E9C-101B-9397-08002B2CF9AE}" pid="10" name="MSIP_Label_8b1d8bd7-7e7b-4949-9680-d82491da45c6_ActionId">
    <vt:lpwstr>7f1ee1da-af91-40c7-815c-18febd6d2ceb</vt:lpwstr>
  </property>
  <property fmtid="{D5CDD505-2E9C-101B-9397-08002B2CF9AE}" pid="11" name="MSIP_Label_8b1d8bd7-7e7b-4949-9680-d82491da45c6_ContentBits">
    <vt:lpwstr>2</vt:lpwstr>
  </property>
</Properties>
</file>