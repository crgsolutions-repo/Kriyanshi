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G 2.0\Diago\Track 2\"/>
    </mc:Choice>
  </mc:AlternateContent>
  <xr:revisionPtr revIDLastSave="0" documentId="8_{3F33733C-C92C-4CCF-A5B4-2CC49B217C54}" xr6:coauthVersionLast="47" xr6:coauthVersionMax="47" xr10:uidLastSave="{00000000-0000-0000-0000-000000000000}"/>
  <bookViews>
    <workbookView xWindow="-110" yWindow="-110" windowWidth="19420" windowHeight="10300" xr2:uid="{723FC505-B385-4227-B50F-24839DEC9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tc={D5351F32-5016-4DEE-8CE1-E6AC25EF65B1}</author>
    <author>tc={7A8EAD56-918F-47D6-8833-5C3D70C8BE89}</author>
    <author>tc={32AF1C50-BBFB-49A5-8180-D36843102ED1}</author>
    <author>tc={F178B021-D828-4595-BF3D-459F147354AC}</author>
    <author>tc={5E1C4B78-3017-4639-A8DA-DD968B3643BF}</author>
  </authors>
  <commentList>
    <comment ref="AL1" authorId="0" shapeId="0" xr:uid="{CE4993C9-B370-4196-BD09-F535C46EA939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  </r>
      </text>
    </comment>
    <comment ref="AM1" authorId="1" shapeId="0" xr:uid="{B7BFF5EE-86EB-4B00-9B51-912AE291A6E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  </r>
      </text>
    </comment>
    <comment ref="AN1" authorId="2" shapeId="0" xr:uid="{835234BC-9C96-4F68-A015-552A09CE5F0B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Scan would be done at POC</t>
        </r>
      </text>
    </comment>
    <comment ref="AQ1" authorId="3" shapeId="0" xr:uid="{30F6CD2A-41D4-4465-AB52-FEC96D330741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Check it is wash or not</t>
        </r>
      </text>
    </comment>
    <comment ref="BC1" authorId="4" shapeId="0" xr:uid="{EACDCFCF-7CBB-457F-91A1-2FC55EA23D0E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 POC, scan needs to be done</t>
        </r>
      </text>
    </comment>
  </commentList>
</comments>
</file>

<file path=xl/sharedStrings.xml><?xml version="1.0" encoding="utf-8"?>
<sst xmlns="http://schemas.openxmlformats.org/spreadsheetml/2006/main" count="98" uniqueCount="59">
  <si>
    <t>Mash B#</t>
  </si>
  <si>
    <t>Malt Hot Water Extract 6-Row (pct w by w)</t>
  </si>
  <si>
    <t>Malt Predicted Spirit Yield 6-Row (LA by T</t>
  </si>
  <si>
    <t>Malt Grist Ratio - Coarse (pct w by w)</t>
  </si>
  <si>
    <t>Malt Grist Ratio - Medium (pct w by w)</t>
  </si>
  <si>
    <t>Malt Grist Ratio - Fine (pct w by w)</t>
  </si>
  <si>
    <t>Malt Moisture (pct)</t>
  </si>
  <si>
    <t>Malt Friability 6-Row</t>
  </si>
  <si>
    <t>Water Sensory</t>
  </si>
  <si>
    <t>Water pH</t>
  </si>
  <si>
    <t>Water TDS</t>
  </si>
  <si>
    <t>Water Hardness</t>
  </si>
  <si>
    <t>Water Chloride</t>
  </si>
  <si>
    <t>Water Alkalinity</t>
  </si>
  <si>
    <t>Grist Quantity</t>
  </si>
  <si>
    <t>Sparging Temperature 1</t>
  </si>
  <si>
    <t>Sparging Temperature 2</t>
  </si>
  <si>
    <t>Mash Vessel Turnaround Time</t>
  </si>
  <si>
    <t>Weak Wort Temperature</t>
  </si>
  <si>
    <t>Raking Arms Speed</t>
  </si>
  <si>
    <t>Mashing - Striking Temp.</t>
  </si>
  <si>
    <t>Draff Loss</t>
  </si>
  <si>
    <t>Resting Time</t>
  </si>
  <si>
    <t>Wort Collection - Flow Rate</t>
  </si>
  <si>
    <t>First Wort Collection - Turbidity</t>
  </si>
  <si>
    <t>First Wort Collection - Gravity</t>
  </si>
  <si>
    <t>Ferm. Yeast Addition</t>
  </si>
  <si>
    <t>CIP Caustic Strength pct</t>
  </si>
  <si>
    <t>CIP Solution Temperature</t>
  </si>
  <si>
    <t>CIP Circulation time</t>
  </si>
  <si>
    <t>CIP FV Contact Time</t>
  </si>
  <si>
    <t>Yeast Culture Vessel-Wort Initial Gravity</t>
  </si>
  <si>
    <t>Yeast Culture Vessel-Wort Final Gravity</t>
  </si>
  <si>
    <t>Yeast count Million cells per ml</t>
  </si>
  <si>
    <t>Yeast Culture Vessel  Cells pct Viability</t>
  </si>
  <si>
    <t>Fermentation Volume</t>
  </si>
  <si>
    <t>Ferm. Set-up Temp</t>
  </si>
  <si>
    <t>Ferm. Set-up Gravity</t>
  </si>
  <si>
    <t>Ferm. Set-up pH</t>
  </si>
  <si>
    <t>Ferm. Max. Temp.</t>
  </si>
  <si>
    <t>Fermentation Time</t>
  </si>
  <si>
    <t>Total Fermentation Time</t>
  </si>
  <si>
    <t>Ferm.  Wash Final Gravity</t>
  </si>
  <si>
    <t>Ferm. wash pH</t>
  </si>
  <si>
    <t>Ferm. Alcohol(pct) 6-Row</t>
  </si>
  <si>
    <t>Ferm Wash Residual Sugar</t>
  </si>
  <si>
    <t>WD 1 - Distillation Time</t>
  </si>
  <si>
    <t>WD - Alcohol pct in Low Wine</t>
  </si>
  <si>
    <t>WD - Volume Low Wine</t>
  </si>
  <si>
    <t>SD - Heads Cut Time</t>
  </si>
  <si>
    <t>SD - Heart Cut Time</t>
  </si>
  <si>
    <t>SD - Tail Cut Time</t>
  </si>
  <si>
    <t>SD - Total Distillation Time</t>
  </si>
  <si>
    <t>SD - Recovery 6-Row</t>
  </si>
  <si>
    <t>SD - Average Proof FMS</t>
  </si>
  <si>
    <t>Quality</t>
  </si>
  <si>
    <t>Quality2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</si>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</sst>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.0"/>
    <numFmt numFmtId="166" formatCode="0.000"/>
  </numFmts>
  <fonts count="9" x14ac:knownFonts="1"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165" fontId="4" fillId="4" borderId="7" xfId="0" applyNumberFormat="1" applyFont="1" applyFill="1" applyBorder="1" applyAlignment="1">
      <alignment horizontal="center" vertical="center"/>
    </xf>
    <xf numFmtId="1" fontId="4" fillId="4" borderId="8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/>
    </xf>
    <xf numFmtId="166" fontId="4" fillId="4" borderId="7" xfId="0" applyNumberFormat="1" applyFont="1" applyFill="1" applyBorder="1" applyAlignment="1">
      <alignment horizontal="center" vertical="center"/>
    </xf>
    <xf numFmtId="166" fontId="4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166" fontId="7" fillId="3" borderId="7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/>
      <protection locked="0"/>
    </xf>
    <xf numFmtId="2" fontId="4" fillId="4" borderId="8" xfId="0" applyNumberFormat="1" applyFont="1" applyFill="1" applyBorder="1" applyAlignment="1" applyProtection="1">
      <alignment horizontal="center" vertical="center"/>
      <protection locked="0"/>
    </xf>
    <xf numFmtId="165" fontId="4" fillId="3" borderId="7" xfId="0" applyNumberFormat="1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2" fontId="4" fillId="4" borderId="8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/>
    </xf>
    <xf numFmtId="2" fontId="5" fillId="3" borderId="12" xfId="0" applyNumberFormat="1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49" fontId="4" fillId="4" borderId="12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165" fontId="4" fillId="4" borderId="10" xfId="0" applyNumberFormat="1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1" fontId="4" fillId="4" borderId="13" xfId="0" applyNumberFormat="1" applyFont="1" applyFill="1" applyBorder="1" applyAlignment="1">
      <alignment horizontal="center" vertical="center"/>
    </xf>
    <xf numFmtId="166" fontId="4" fillId="4" borderId="10" xfId="0" applyNumberFormat="1" applyFont="1" applyFill="1" applyBorder="1" applyAlignment="1">
      <alignment horizontal="center" vertical="center"/>
    </xf>
    <xf numFmtId="166" fontId="4" fillId="4" borderId="12" xfId="0" applyNumberFormat="1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/>
    </xf>
    <xf numFmtId="166" fontId="7" fillId="3" borderId="10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2" fontId="4" fillId="4" borderId="12" xfId="0" applyNumberFormat="1" applyFont="1" applyFill="1" applyBorder="1" applyAlignment="1" applyProtection="1">
      <alignment horizontal="center" vertical="center"/>
      <protection locked="0"/>
    </xf>
    <xf numFmtId="165" fontId="4" fillId="3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0" xfId="0" applyFont="1" applyFill="1" applyBorder="1" applyAlignment="1" applyProtection="1">
      <alignment horizontal="center" vertical="center"/>
      <protection locked="0"/>
    </xf>
    <xf numFmtId="2" fontId="4" fillId="4" borderId="12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166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6" fillId="3" borderId="10" xfId="0" applyFont="1" applyFill="1" applyBorder="1" applyAlignment="1" applyProtection="1">
      <alignment horizontal="center"/>
      <protection locked="0"/>
    </xf>
    <xf numFmtId="166" fontId="4" fillId="4" borderId="12" xfId="0" applyNumberFormat="1" applyFont="1" applyFill="1" applyBorder="1" applyAlignment="1" applyProtection="1">
      <alignment horizontal="center" vertical="center"/>
      <protection locked="0"/>
    </xf>
    <xf numFmtId="0" fontId="6" fillId="3" borderId="12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>
      <alignment horizontal="center"/>
    </xf>
    <xf numFmtId="0" fontId="6" fillId="3" borderId="12" xfId="0" applyFont="1" applyFill="1" applyBorder="1"/>
    <xf numFmtId="0" fontId="4" fillId="5" borderId="7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B142-D82B-4BF5-A3C7-9CC9FC91AC79}">
  <dimension ref="A1:BE1048573"/>
  <sheetViews>
    <sheetView tabSelected="1" workbookViewId="0"/>
  </sheetViews>
  <sheetFormatPr defaultRowHeight="14.5" x14ac:dyDescent="0.35"/>
  <cols>
    <col min="56" max="56" width="12.54296875" customWidth="1"/>
    <col min="57" max="57" width="14.90625" customWidth="1"/>
  </cols>
  <sheetData>
    <row r="1" spans="1:57" ht="87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4" t="s">
        <v>27</v>
      </c>
      <c r="AC1" s="5" t="s">
        <v>28</v>
      </c>
      <c r="AD1" s="5" t="s">
        <v>29</v>
      </c>
      <c r="AE1" s="6" t="s">
        <v>30</v>
      </c>
      <c r="AF1" s="10" t="s">
        <v>31</v>
      </c>
      <c r="AG1" s="11" t="s">
        <v>32</v>
      </c>
      <c r="AH1" s="11" t="s">
        <v>33</v>
      </c>
      <c r="AI1" s="12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7" t="s">
        <v>42</v>
      </c>
      <c r="AR1" s="8" t="s">
        <v>43</v>
      </c>
      <c r="AS1" s="8" t="s">
        <v>44</v>
      </c>
      <c r="AT1" s="8" t="s">
        <v>45</v>
      </c>
      <c r="AU1" s="5" t="s">
        <v>46</v>
      </c>
      <c r="AV1" s="7" t="s">
        <v>47</v>
      </c>
      <c r="AW1" s="8" t="s">
        <v>48</v>
      </c>
      <c r="AX1" s="4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3" t="s">
        <v>55</v>
      </c>
      <c r="BE1" s="14" t="s">
        <v>56</v>
      </c>
    </row>
    <row r="2" spans="1:57" x14ac:dyDescent="0.35">
      <c r="A2" s="15">
        <v>830</v>
      </c>
      <c r="B2" s="16">
        <v>74.023745000000005</v>
      </c>
      <c r="C2" s="17">
        <v>341.47899727849602</v>
      </c>
      <c r="D2" s="18">
        <v>17</v>
      </c>
      <c r="E2" s="18">
        <v>76</v>
      </c>
      <c r="F2" s="18">
        <v>7</v>
      </c>
      <c r="G2" s="17">
        <v>4.67</v>
      </c>
      <c r="H2" s="17">
        <v>69.22</v>
      </c>
      <c r="I2" s="19">
        <v>1</v>
      </c>
      <c r="J2" s="20">
        <v>7.36</v>
      </c>
      <c r="K2" s="20">
        <v>302</v>
      </c>
      <c r="L2" s="20">
        <v>225</v>
      </c>
      <c r="M2" s="20">
        <v>40</v>
      </c>
      <c r="N2" s="20">
        <v>200</v>
      </c>
      <c r="O2" s="21">
        <v>8000</v>
      </c>
      <c r="P2" s="22">
        <v>78.3</v>
      </c>
      <c r="Q2" s="22">
        <v>85.4</v>
      </c>
      <c r="R2" s="23">
        <v>275</v>
      </c>
      <c r="S2" s="22">
        <v>75.7</v>
      </c>
      <c r="T2" s="24">
        <v>0.33</v>
      </c>
      <c r="U2" s="22">
        <v>65.400000000000006</v>
      </c>
      <c r="V2" s="22">
        <v>0.4</v>
      </c>
      <c r="W2" s="22">
        <v>25</v>
      </c>
      <c r="X2" s="25">
        <v>140</v>
      </c>
      <c r="Y2" s="26">
        <v>255</v>
      </c>
      <c r="Z2" s="27">
        <v>1.075</v>
      </c>
      <c r="AA2" s="28">
        <v>3500</v>
      </c>
      <c r="AB2" s="29">
        <v>2</v>
      </c>
      <c r="AC2" s="30">
        <v>70</v>
      </c>
      <c r="AD2" s="30">
        <v>20</v>
      </c>
      <c r="AE2" s="31">
        <v>20</v>
      </c>
      <c r="AF2" s="32">
        <v>1.0649999999999999</v>
      </c>
      <c r="AG2" s="33">
        <v>1.052</v>
      </c>
      <c r="AH2" s="30">
        <v>260</v>
      </c>
      <c r="AI2" s="31">
        <v>99</v>
      </c>
      <c r="AJ2" s="30">
        <v>33986</v>
      </c>
      <c r="AK2" s="22">
        <v>19</v>
      </c>
      <c r="AL2" s="33">
        <v>1.06</v>
      </c>
      <c r="AM2" s="22">
        <v>5.26</v>
      </c>
      <c r="AN2" s="34">
        <v>34</v>
      </c>
      <c r="AO2" s="22">
        <v>50</v>
      </c>
      <c r="AP2" s="35">
        <v>68</v>
      </c>
      <c r="AQ2" s="36">
        <v>1</v>
      </c>
      <c r="AR2" s="37">
        <v>3.48</v>
      </c>
      <c r="AS2" s="37">
        <v>8.3000000000000007</v>
      </c>
      <c r="AT2" s="38">
        <v>0.41</v>
      </c>
      <c r="AU2" s="39">
        <v>10</v>
      </c>
      <c r="AV2" s="40">
        <v>20.970380000000002</v>
      </c>
      <c r="AW2" s="38">
        <v>13127</v>
      </c>
      <c r="AX2" s="41">
        <v>25</v>
      </c>
      <c r="AY2" s="22">
        <v>210</v>
      </c>
      <c r="AZ2" s="22">
        <v>270</v>
      </c>
      <c r="BA2" s="42">
        <v>10</v>
      </c>
      <c r="BB2" s="42">
        <v>584.02199999999993</v>
      </c>
      <c r="BC2" s="22">
        <v>112.8</v>
      </c>
      <c r="BD2" s="43" t="s">
        <v>57</v>
      </c>
      <c r="BE2">
        <v>0</v>
      </c>
    </row>
    <row r="3" spans="1:57" x14ac:dyDescent="0.35">
      <c r="A3" s="44">
        <v>831</v>
      </c>
      <c r="B3" s="45">
        <v>74.036377999999999</v>
      </c>
      <c r="C3" s="46">
        <v>341.53727458090242</v>
      </c>
      <c r="D3" s="47">
        <v>17</v>
      </c>
      <c r="E3" s="47">
        <v>75</v>
      </c>
      <c r="F3" s="47">
        <v>8</v>
      </c>
      <c r="G3" s="46">
        <v>4.58</v>
      </c>
      <c r="H3" s="46">
        <v>70.900000000000006</v>
      </c>
      <c r="I3" s="19">
        <v>1</v>
      </c>
      <c r="J3" s="20">
        <v>7.36</v>
      </c>
      <c r="K3" s="20">
        <v>302</v>
      </c>
      <c r="L3" s="20">
        <v>225</v>
      </c>
      <c r="M3" s="20">
        <v>40</v>
      </c>
      <c r="N3" s="20">
        <v>200</v>
      </c>
      <c r="O3" s="48">
        <v>8000</v>
      </c>
      <c r="P3" s="49">
        <v>78.5</v>
      </c>
      <c r="Q3" s="49">
        <v>85.5</v>
      </c>
      <c r="R3" s="50">
        <v>280</v>
      </c>
      <c r="S3" s="49">
        <v>75.400000000000006</v>
      </c>
      <c r="T3" s="51">
        <v>0.33</v>
      </c>
      <c r="U3" s="49">
        <v>65.8</v>
      </c>
      <c r="V3" s="49">
        <v>0.41</v>
      </c>
      <c r="W3" s="49">
        <v>25</v>
      </c>
      <c r="X3" s="52">
        <v>140</v>
      </c>
      <c r="Y3" s="53">
        <v>268</v>
      </c>
      <c r="Z3" s="54">
        <v>1.0720000000000001</v>
      </c>
      <c r="AA3" s="55">
        <v>3500</v>
      </c>
      <c r="AB3" s="56">
        <v>2.2000000000000002</v>
      </c>
      <c r="AC3" s="57">
        <v>70</v>
      </c>
      <c r="AD3" s="57">
        <v>20</v>
      </c>
      <c r="AE3" s="58">
        <v>20</v>
      </c>
      <c r="AF3" s="59">
        <v>1.0629999999999999</v>
      </c>
      <c r="AG3" s="60">
        <v>1.0509999999999999</v>
      </c>
      <c r="AH3" s="57">
        <v>265</v>
      </c>
      <c r="AI3" s="58">
        <v>99</v>
      </c>
      <c r="AJ3" s="57">
        <v>33988</v>
      </c>
      <c r="AK3" s="49">
        <v>19</v>
      </c>
      <c r="AL3" s="60">
        <v>1.06</v>
      </c>
      <c r="AM3" s="49">
        <v>5.28</v>
      </c>
      <c r="AN3" s="61">
        <v>33</v>
      </c>
      <c r="AO3" s="49">
        <v>52</v>
      </c>
      <c r="AP3" s="62">
        <v>70</v>
      </c>
      <c r="AQ3" s="63">
        <v>1</v>
      </c>
      <c r="AR3" s="64">
        <v>3.47</v>
      </c>
      <c r="AS3" s="65">
        <v>8.3000000000000007</v>
      </c>
      <c r="AT3" s="65">
        <v>0.4</v>
      </c>
      <c r="AU3" s="66">
        <v>10</v>
      </c>
      <c r="AV3" s="67">
        <v>20.856100000000001</v>
      </c>
      <c r="AW3" s="65">
        <v>13138</v>
      </c>
      <c r="AX3" s="68">
        <v>25</v>
      </c>
      <c r="AY3" s="49">
        <v>210</v>
      </c>
      <c r="AZ3" s="49">
        <v>240</v>
      </c>
      <c r="BA3" s="69">
        <v>9.3000000000000007</v>
      </c>
      <c r="BB3" s="69">
        <v>584.53975000000003</v>
      </c>
      <c r="BC3" s="49">
        <v>112.9</v>
      </c>
      <c r="BD3" s="70" t="s">
        <v>58</v>
      </c>
      <c r="BE3">
        <v>1</v>
      </c>
    </row>
    <row r="4" spans="1:57" x14ac:dyDescent="0.35">
      <c r="A4" s="44">
        <v>832</v>
      </c>
      <c r="B4" s="45">
        <v>74.05901999999999</v>
      </c>
      <c r="C4" s="46">
        <v>341.64172440921595</v>
      </c>
      <c r="D4" s="47">
        <v>17</v>
      </c>
      <c r="E4" s="47">
        <v>75</v>
      </c>
      <c r="F4" s="47">
        <v>8</v>
      </c>
      <c r="G4" s="46">
        <v>4.5999999999999996</v>
      </c>
      <c r="H4" s="46">
        <v>68.88</v>
      </c>
      <c r="I4" s="71">
        <v>1</v>
      </c>
      <c r="J4" s="72">
        <v>7.32</v>
      </c>
      <c r="K4" s="47">
        <v>300</v>
      </c>
      <c r="L4" s="47">
        <v>250</v>
      </c>
      <c r="M4" s="47">
        <v>36</v>
      </c>
      <c r="N4" s="47">
        <v>200</v>
      </c>
      <c r="O4" s="48">
        <v>8000</v>
      </c>
      <c r="P4" s="49">
        <v>78.2</v>
      </c>
      <c r="Q4" s="49">
        <v>85.3</v>
      </c>
      <c r="R4" s="49">
        <v>295</v>
      </c>
      <c r="S4" s="49">
        <v>76.599999999999994</v>
      </c>
      <c r="T4" s="51">
        <v>0.33</v>
      </c>
      <c r="U4" s="49">
        <v>65.2</v>
      </c>
      <c r="V4" s="49">
        <v>0.38</v>
      </c>
      <c r="W4" s="49">
        <v>25</v>
      </c>
      <c r="X4" s="52">
        <v>140</v>
      </c>
      <c r="Y4" s="53">
        <v>265</v>
      </c>
      <c r="Z4" s="54">
        <v>1.0720000000000001</v>
      </c>
      <c r="AA4" s="55">
        <v>3500</v>
      </c>
      <c r="AB4" s="56">
        <v>2</v>
      </c>
      <c r="AC4" s="57">
        <v>70</v>
      </c>
      <c r="AD4" s="57">
        <v>20</v>
      </c>
      <c r="AE4" s="58">
        <v>20</v>
      </c>
      <c r="AF4" s="59">
        <v>1.0620000000000001</v>
      </c>
      <c r="AG4" s="60">
        <v>1.052</v>
      </c>
      <c r="AH4" s="57">
        <v>260</v>
      </c>
      <c r="AI4" s="58">
        <v>99</v>
      </c>
      <c r="AJ4" s="57">
        <v>33981</v>
      </c>
      <c r="AK4" s="49">
        <v>18</v>
      </c>
      <c r="AL4" s="60">
        <v>1.06</v>
      </c>
      <c r="AM4" s="49">
        <v>5.31</v>
      </c>
      <c r="AN4" s="61">
        <v>34</v>
      </c>
      <c r="AO4" s="49">
        <v>52</v>
      </c>
      <c r="AP4" s="62">
        <v>70</v>
      </c>
      <c r="AQ4" s="63">
        <v>1</v>
      </c>
      <c r="AR4" s="64">
        <v>3.5</v>
      </c>
      <c r="AS4" s="65">
        <v>8.3000000000000007</v>
      </c>
      <c r="AT4" s="65">
        <v>0.43</v>
      </c>
      <c r="AU4" s="66">
        <v>10</v>
      </c>
      <c r="AV4" s="67">
        <v>20.913240000000002</v>
      </c>
      <c r="AW4" s="65">
        <v>13155</v>
      </c>
      <c r="AX4" s="68">
        <v>25</v>
      </c>
      <c r="AY4" s="49">
        <v>210</v>
      </c>
      <c r="AZ4" s="49">
        <v>240</v>
      </c>
      <c r="BA4" s="69">
        <v>9.3000000000000007</v>
      </c>
      <c r="BB4" s="69">
        <v>583.64499999999998</v>
      </c>
      <c r="BC4" s="49">
        <v>113</v>
      </c>
      <c r="BD4" s="43" t="s">
        <v>57</v>
      </c>
      <c r="BE4">
        <v>0</v>
      </c>
    </row>
    <row r="5" spans="1:57" x14ac:dyDescent="0.35">
      <c r="A5" s="44">
        <v>833</v>
      </c>
      <c r="B5" s="45">
        <v>74.012441999999993</v>
      </c>
      <c r="C5" s="46">
        <v>341.42685540015356</v>
      </c>
      <c r="D5" s="47">
        <v>18</v>
      </c>
      <c r="E5" s="47">
        <v>75</v>
      </c>
      <c r="F5" s="47">
        <v>7</v>
      </c>
      <c r="G5" s="46">
        <v>4.66</v>
      </c>
      <c r="H5" s="46">
        <v>69.989999999999995</v>
      </c>
      <c r="I5" s="71">
        <v>1</v>
      </c>
      <c r="J5" s="72">
        <v>7.32</v>
      </c>
      <c r="K5" s="47">
        <v>300</v>
      </c>
      <c r="L5" s="47">
        <v>250</v>
      </c>
      <c r="M5" s="47">
        <v>36</v>
      </c>
      <c r="N5" s="47">
        <v>200</v>
      </c>
      <c r="O5" s="48">
        <v>8000</v>
      </c>
      <c r="P5" s="49">
        <v>78.400000000000006</v>
      </c>
      <c r="Q5" s="49">
        <v>85.3</v>
      </c>
      <c r="R5" s="50">
        <v>295</v>
      </c>
      <c r="S5" s="49">
        <v>76.599999999999994</v>
      </c>
      <c r="T5" s="51">
        <v>0.33</v>
      </c>
      <c r="U5" s="49">
        <v>66.099999999999994</v>
      </c>
      <c r="V5" s="49">
        <v>0.39</v>
      </c>
      <c r="W5" s="49">
        <v>25</v>
      </c>
      <c r="X5" s="52">
        <v>140</v>
      </c>
      <c r="Y5" s="53">
        <v>270</v>
      </c>
      <c r="Z5" s="54">
        <v>1.07</v>
      </c>
      <c r="AA5" s="55">
        <v>3500</v>
      </c>
      <c r="AB5" s="56">
        <v>2.2000000000000002</v>
      </c>
      <c r="AC5" s="57">
        <v>71</v>
      </c>
      <c r="AD5" s="57">
        <v>20</v>
      </c>
      <c r="AE5" s="58">
        <v>20</v>
      </c>
      <c r="AF5" s="73">
        <v>1.0589999999999999</v>
      </c>
      <c r="AG5" s="60">
        <v>1.044</v>
      </c>
      <c r="AH5" s="57">
        <v>255</v>
      </c>
      <c r="AI5" s="58">
        <v>99</v>
      </c>
      <c r="AJ5" s="57">
        <v>33986</v>
      </c>
      <c r="AK5" s="49">
        <v>19</v>
      </c>
      <c r="AL5" s="60">
        <v>1.06</v>
      </c>
      <c r="AM5" s="49">
        <v>5.28</v>
      </c>
      <c r="AN5" s="61">
        <v>34</v>
      </c>
      <c r="AO5" s="49">
        <v>50</v>
      </c>
      <c r="AP5" s="62">
        <v>72</v>
      </c>
      <c r="AQ5" s="63">
        <v>1</v>
      </c>
      <c r="AR5" s="64">
        <v>3.49</v>
      </c>
      <c r="AS5" s="65">
        <v>8.3000000000000007</v>
      </c>
      <c r="AT5" s="65">
        <v>0.41</v>
      </c>
      <c r="AU5" s="66">
        <v>10</v>
      </c>
      <c r="AV5" s="67">
        <v>20.856100000000001</v>
      </c>
      <c r="AW5" s="65">
        <v>13143</v>
      </c>
      <c r="AX5" s="68">
        <v>25</v>
      </c>
      <c r="AY5" s="49">
        <v>210</v>
      </c>
      <c r="AZ5" s="49">
        <v>240</v>
      </c>
      <c r="BA5" s="69">
        <v>9.3000000000000007</v>
      </c>
      <c r="BB5" s="69">
        <v>584.35125000000005</v>
      </c>
      <c r="BC5" s="49">
        <v>113</v>
      </c>
      <c r="BD5" s="43" t="s">
        <v>57</v>
      </c>
      <c r="BE5">
        <v>0</v>
      </c>
    </row>
    <row r="6" spans="1:57" x14ac:dyDescent="0.35">
      <c r="A6" s="44">
        <v>834</v>
      </c>
      <c r="B6" s="45">
        <v>74.515775999999988</v>
      </c>
      <c r="C6" s="46">
        <v>343.74878587822081</v>
      </c>
      <c r="D6" s="47">
        <v>17</v>
      </c>
      <c r="E6" s="47">
        <v>76</v>
      </c>
      <c r="F6" s="47">
        <v>7</v>
      </c>
      <c r="G6" s="46">
        <v>4.76</v>
      </c>
      <c r="H6" s="46">
        <v>70.099999999999994</v>
      </c>
      <c r="I6" s="71">
        <v>1</v>
      </c>
      <c r="J6" s="72">
        <v>7.34</v>
      </c>
      <c r="K6" s="72">
        <v>291</v>
      </c>
      <c r="L6" s="72">
        <v>250</v>
      </c>
      <c r="M6" s="72">
        <v>32</v>
      </c>
      <c r="N6" s="72">
        <v>145</v>
      </c>
      <c r="O6" s="48">
        <v>8000</v>
      </c>
      <c r="P6" s="49">
        <v>78.5</v>
      </c>
      <c r="Q6" s="49">
        <v>85.4</v>
      </c>
      <c r="R6" s="50">
        <v>285</v>
      </c>
      <c r="S6" s="49">
        <v>76.5</v>
      </c>
      <c r="T6" s="51">
        <v>0.33</v>
      </c>
      <c r="U6" s="49">
        <v>65.5</v>
      </c>
      <c r="V6" s="49">
        <v>0.4</v>
      </c>
      <c r="W6" s="49">
        <v>25</v>
      </c>
      <c r="X6" s="52">
        <v>140</v>
      </c>
      <c r="Y6" s="53">
        <v>240</v>
      </c>
      <c r="Z6" s="54">
        <v>1.075</v>
      </c>
      <c r="AA6" s="55">
        <v>3500</v>
      </c>
      <c r="AB6" s="56">
        <v>2</v>
      </c>
      <c r="AC6" s="57">
        <v>70</v>
      </c>
      <c r="AD6" s="57">
        <v>20</v>
      </c>
      <c r="AE6" s="58">
        <v>20</v>
      </c>
      <c r="AF6" s="73">
        <v>1.0620000000000001</v>
      </c>
      <c r="AG6" s="60">
        <v>1.052</v>
      </c>
      <c r="AH6" s="57">
        <v>270</v>
      </c>
      <c r="AI6" s="58">
        <v>99</v>
      </c>
      <c r="AJ6" s="57">
        <v>33985</v>
      </c>
      <c r="AK6" s="49">
        <v>18</v>
      </c>
      <c r="AL6" s="60">
        <v>1.06</v>
      </c>
      <c r="AM6" s="49">
        <v>5.29</v>
      </c>
      <c r="AN6" s="61">
        <v>33</v>
      </c>
      <c r="AO6" s="49">
        <v>52</v>
      </c>
      <c r="AP6" s="62">
        <v>72</v>
      </c>
      <c r="AQ6" s="63">
        <v>1</v>
      </c>
      <c r="AR6" s="64">
        <v>3.52</v>
      </c>
      <c r="AS6" s="65">
        <v>8.3000000000000007</v>
      </c>
      <c r="AT6" s="65">
        <v>0.48</v>
      </c>
      <c r="AU6" s="66">
        <v>10</v>
      </c>
      <c r="AV6" s="67">
        <v>20.913240000000002</v>
      </c>
      <c r="AW6" s="65">
        <v>13126</v>
      </c>
      <c r="AX6" s="68">
        <v>25</v>
      </c>
      <c r="AY6" s="49">
        <v>210</v>
      </c>
      <c r="AZ6" s="49">
        <v>250</v>
      </c>
      <c r="BA6" s="69">
        <v>9.4</v>
      </c>
      <c r="BB6" s="69">
        <v>583.59900000000005</v>
      </c>
      <c r="BC6" s="49">
        <v>112.8</v>
      </c>
      <c r="BD6" s="43" t="s">
        <v>57</v>
      </c>
      <c r="BE6">
        <v>0</v>
      </c>
    </row>
    <row r="7" spans="1:57" x14ac:dyDescent="0.35">
      <c r="A7" s="44">
        <v>835</v>
      </c>
      <c r="B7" s="45">
        <v>74.579340000000002</v>
      </c>
      <c r="C7" s="46">
        <v>344.04201301747207</v>
      </c>
      <c r="D7" s="47">
        <v>18</v>
      </c>
      <c r="E7" s="47">
        <v>76</v>
      </c>
      <c r="F7" s="47">
        <v>6</v>
      </c>
      <c r="G7" s="46">
        <v>4.63</v>
      </c>
      <c r="H7" s="46">
        <v>70.209999999999994</v>
      </c>
      <c r="I7" s="71">
        <v>1</v>
      </c>
      <c r="J7" s="72">
        <v>7.34</v>
      </c>
      <c r="K7" s="72">
        <v>291</v>
      </c>
      <c r="L7" s="72">
        <v>250</v>
      </c>
      <c r="M7" s="72">
        <v>32</v>
      </c>
      <c r="N7" s="72">
        <v>145</v>
      </c>
      <c r="O7" s="48">
        <v>8000</v>
      </c>
      <c r="P7" s="49">
        <v>78.400000000000006</v>
      </c>
      <c r="Q7" s="49">
        <v>85.3</v>
      </c>
      <c r="R7" s="50">
        <v>290</v>
      </c>
      <c r="S7" s="49">
        <v>76.400000000000006</v>
      </c>
      <c r="T7" s="51">
        <v>0.33</v>
      </c>
      <c r="U7" s="49">
        <v>65</v>
      </c>
      <c r="V7" s="49">
        <v>0.41</v>
      </c>
      <c r="W7" s="49">
        <v>25</v>
      </c>
      <c r="X7" s="52">
        <v>140</v>
      </c>
      <c r="Y7" s="53">
        <v>265</v>
      </c>
      <c r="Z7" s="54">
        <v>1.071</v>
      </c>
      <c r="AA7" s="55">
        <v>3500</v>
      </c>
      <c r="AB7" s="56">
        <v>2.1</v>
      </c>
      <c r="AC7" s="57">
        <v>70</v>
      </c>
      <c r="AD7" s="57">
        <v>20</v>
      </c>
      <c r="AE7" s="58">
        <v>20</v>
      </c>
      <c r="AF7" s="73">
        <v>1.0649999999999999</v>
      </c>
      <c r="AG7" s="60">
        <v>1.054</v>
      </c>
      <c r="AH7" s="57">
        <v>260</v>
      </c>
      <c r="AI7" s="58">
        <v>99</v>
      </c>
      <c r="AJ7" s="57">
        <v>33988</v>
      </c>
      <c r="AK7" s="49">
        <v>19</v>
      </c>
      <c r="AL7" s="60">
        <v>1.06</v>
      </c>
      <c r="AM7" s="49">
        <v>5.3</v>
      </c>
      <c r="AN7" s="61">
        <v>34</v>
      </c>
      <c r="AO7" s="51">
        <v>54</v>
      </c>
      <c r="AP7" s="62">
        <v>70</v>
      </c>
      <c r="AQ7" s="63">
        <v>1</v>
      </c>
      <c r="AR7" s="64">
        <v>3.42</v>
      </c>
      <c r="AS7" s="65">
        <v>8.3000000000000007</v>
      </c>
      <c r="AT7" s="65">
        <v>0.46</v>
      </c>
      <c r="AU7" s="66">
        <v>10</v>
      </c>
      <c r="AV7" s="67">
        <v>20.970380000000002</v>
      </c>
      <c r="AW7" s="65">
        <v>13118</v>
      </c>
      <c r="AX7" s="68">
        <v>25</v>
      </c>
      <c r="AY7" s="49">
        <v>210</v>
      </c>
      <c r="AZ7" s="49">
        <v>235</v>
      </c>
      <c r="BA7" s="69">
        <v>9.25</v>
      </c>
      <c r="BB7" s="69">
        <v>583.78599999999994</v>
      </c>
      <c r="BC7" s="49">
        <v>112.7</v>
      </c>
      <c r="BD7" s="43" t="s">
        <v>57</v>
      </c>
      <c r="BE7">
        <v>0</v>
      </c>
    </row>
    <row r="8" spans="1:57" x14ac:dyDescent="0.35">
      <c r="A8" s="44">
        <v>836</v>
      </c>
      <c r="B8" s="45">
        <v>74.049858999999998</v>
      </c>
      <c r="C8" s="46">
        <v>341.59946379278728</v>
      </c>
      <c r="D8" s="47">
        <v>18</v>
      </c>
      <c r="E8" s="47">
        <v>75</v>
      </c>
      <c r="F8" s="47">
        <v>7</v>
      </c>
      <c r="G8" s="46">
        <v>4.71</v>
      </c>
      <c r="H8" s="46">
        <v>70.3</v>
      </c>
      <c r="I8" s="74">
        <v>1</v>
      </c>
      <c r="J8" s="72">
        <v>7.38</v>
      </c>
      <c r="K8" s="72">
        <v>288</v>
      </c>
      <c r="L8" s="72">
        <v>250</v>
      </c>
      <c r="M8" s="72">
        <v>32</v>
      </c>
      <c r="N8" s="72">
        <v>175</v>
      </c>
      <c r="O8" s="48">
        <v>8000</v>
      </c>
      <c r="P8" s="49">
        <v>78.400000000000006</v>
      </c>
      <c r="Q8" s="49">
        <v>85.4</v>
      </c>
      <c r="R8" s="50">
        <v>275</v>
      </c>
      <c r="S8" s="49">
        <v>76.5</v>
      </c>
      <c r="T8" s="51">
        <v>0.33</v>
      </c>
      <c r="U8" s="49">
        <v>65.2</v>
      </c>
      <c r="V8" s="49">
        <v>0.38</v>
      </c>
      <c r="W8" s="49">
        <v>25</v>
      </c>
      <c r="X8" s="52">
        <v>140</v>
      </c>
      <c r="Y8" s="53">
        <v>270</v>
      </c>
      <c r="Z8" s="54">
        <v>1.069</v>
      </c>
      <c r="AA8" s="55">
        <v>3500</v>
      </c>
      <c r="AB8" s="56">
        <v>2</v>
      </c>
      <c r="AC8" s="57">
        <v>70</v>
      </c>
      <c r="AD8" s="57">
        <v>20</v>
      </c>
      <c r="AE8" s="58">
        <v>20</v>
      </c>
      <c r="AF8" s="73">
        <v>1.0629999999999999</v>
      </c>
      <c r="AG8" s="75">
        <v>1.05</v>
      </c>
      <c r="AH8" s="57">
        <v>270</v>
      </c>
      <c r="AI8" s="58">
        <v>99</v>
      </c>
      <c r="AJ8" s="57">
        <v>33974</v>
      </c>
      <c r="AK8" s="49">
        <v>19</v>
      </c>
      <c r="AL8" s="60">
        <v>1.0589999999999999</v>
      </c>
      <c r="AM8" s="49">
        <v>5.25</v>
      </c>
      <c r="AN8" s="61">
        <v>34</v>
      </c>
      <c r="AO8" s="51">
        <v>50</v>
      </c>
      <c r="AP8" s="62">
        <v>72</v>
      </c>
      <c r="AQ8" s="63">
        <v>1</v>
      </c>
      <c r="AR8" s="64">
        <v>3.49</v>
      </c>
      <c r="AS8" s="65">
        <v>8.3000000000000007</v>
      </c>
      <c r="AT8" s="65">
        <v>0.48</v>
      </c>
      <c r="AU8" s="66">
        <v>9.3000000000000007</v>
      </c>
      <c r="AV8" s="67">
        <v>20.856100000000001</v>
      </c>
      <c r="AW8" s="65">
        <v>13146</v>
      </c>
      <c r="AX8" s="68">
        <v>25</v>
      </c>
      <c r="AY8" s="49">
        <v>210</v>
      </c>
      <c r="AZ8" s="49">
        <v>240</v>
      </c>
      <c r="BA8" s="69">
        <v>9.3000000000000007</v>
      </c>
      <c r="BB8" s="69">
        <v>584.68087500000001</v>
      </c>
      <c r="BC8" s="49">
        <v>112.9</v>
      </c>
      <c r="BD8" s="43" t="s">
        <v>57</v>
      </c>
      <c r="BE8">
        <v>0</v>
      </c>
    </row>
    <row r="9" spans="1:57" x14ac:dyDescent="0.35">
      <c r="A9" s="44">
        <v>837</v>
      </c>
      <c r="B9" s="45">
        <v>74.061876999999996</v>
      </c>
      <c r="C9" s="46">
        <v>341.65490403820166</v>
      </c>
      <c r="D9" s="47">
        <v>17</v>
      </c>
      <c r="E9" s="47">
        <v>76</v>
      </c>
      <c r="F9" s="47">
        <v>7</v>
      </c>
      <c r="G9" s="46">
        <v>4.67</v>
      </c>
      <c r="H9" s="46">
        <v>69.989999999999995</v>
      </c>
      <c r="I9" s="74">
        <v>1</v>
      </c>
      <c r="J9" s="72">
        <v>7.38</v>
      </c>
      <c r="K9" s="72">
        <v>288</v>
      </c>
      <c r="L9" s="72">
        <v>250</v>
      </c>
      <c r="M9" s="72">
        <v>32</v>
      </c>
      <c r="N9" s="72">
        <v>175</v>
      </c>
      <c r="O9" s="48">
        <v>8000</v>
      </c>
      <c r="P9" s="49">
        <v>78.599999999999994</v>
      </c>
      <c r="Q9" s="49">
        <v>85.6</v>
      </c>
      <c r="R9" s="49">
        <v>300</v>
      </c>
      <c r="S9" s="49">
        <v>76.400000000000006</v>
      </c>
      <c r="T9" s="51">
        <v>0.33</v>
      </c>
      <c r="U9" s="49">
        <v>65.099999999999994</v>
      </c>
      <c r="V9" s="49">
        <v>0.4</v>
      </c>
      <c r="W9" s="49">
        <v>25</v>
      </c>
      <c r="X9" s="52">
        <v>140</v>
      </c>
      <c r="Y9" s="53">
        <v>240</v>
      </c>
      <c r="Z9" s="54">
        <v>1.0720000000000001</v>
      </c>
      <c r="AA9" s="55">
        <v>3500</v>
      </c>
      <c r="AB9" s="56">
        <v>2.2000000000000002</v>
      </c>
      <c r="AC9" s="57">
        <v>70</v>
      </c>
      <c r="AD9" s="57">
        <v>20</v>
      </c>
      <c r="AE9" s="58">
        <v>20</v>
      </c>
      <c r="AF9" s="73">
        <v>1.0640000000000001</v>
      </c>
      <c r="AG9" s="60">
        <v>1.054</v>
      </c>
      <c r="AH9" s="57">
        <v>255</v>
      </c>
      <c r="AI9" s="58">
        <v>99</v>
      </c>
      <c r="AJ9" s="57">
        <v>33983</v>
      </c>
      <c r="AK9" s="49">
        <v>19</v>
      </c>
      <c r="AL9" s="60">
        <v>1.06</v>
      </c>
      <c r="AM9" s="49">
        <v>5.33</v>
      </c>
      <c r="AN9" s="61">
        <v>34</v>
      </c>
      <c r="AO9" s="51">
        <v>52</v>
      </c>
      <c r="AP9" s="62">
        <v>72</v>
      </c>
      <c r="AQ9" s="63">
        <v>1</v>
      </c>
      <c r="AR9" s="64">
        <v>3.48</v>
      </c>
      <c r="AS9" s="65">
        <v>8.1999999999999993</v>
      </c>
      <c r="AT9" s="65">
        <v>0.44</v>
      </c>
      <c r="AU9" s="66">
        <v>10</v>
      </c>
      <c r="AV9" s="67">
        <v>20.684680000000004</v>
      </c>
      <c r="AW9" s="65">
        <v>13139</v>
      </c>
      <c r="AX9" s="68">
        <v>25</v>
      </c>
      <c r="AY9" s="49">
        <v>210</v>
      </c>
      <c r="AZ9" s="49">
        <v>240</v>
      </c>
      <c r="BA9" s="69">
        <v>9.3000000000000007</v>
      </c>
      <c r="BB9" s="69">
        <v>585.00974999999994</v>
      </c>
      <c r="BC9" s="49">
        <v>113.1</v>
      </c>
      <c r="BD9" s="43" t="s">
        <v>57</v>
      </c>
      <c r="BE9">
        <v>0</v>
      </c>
    </row>
    <row r="10" spans="1:57" x14ac:dyDescent="0.35">
      <c r="A10" s="44">
        <v>838</v>
      </c>
      <c r="B10" s="45">
        <v>74.39</v>
      </c>
      <c r="C10" s="46">
        <v>343.16856851200004</v>
      </c>
      <c r="D10" s="47">
        <v>18</v>
      </c>
      <c r="E10" s="47">
        <v>75</v>
      </c>
      <c r="F10" s="47">
        <v>7</v>
      </c>
      <c r="G10" s="46">
        <v>4.53</v>
      </c>
      <c r="H10" s="46">
        <v>69.28</v>
      </c>
      <c r="I10" s="71">
        <v>1</v>
      </c>
      <c r="J10" s="72">
        <v>7.32</v>
      </c>
      <c r="K10" s="72">
        <v>280</v>
      </c>
      <c r="L10" s="72">
        <v>250</v>
      </c>
      <c r="M10" s="72">
        <v>36</v>
      </c>
      <c r="N10" s="72">
        <v>200</v>
      </c>
      <c r="O10" s="48">
        <v>8000</v>
      </c>
      <c r="P10" s="49">
        <v>78.5</v>
      </c>
      <c r="Q10" s="49">
        <v>85.4</v>
      </c>
      <c r="R10" s="50">
        <v>300</v>
      </c>
      <c r="S10" s="49">
        <v>76.400000000000006</v>
      </c>
      <c r="T10" s="51">
        <v>0.33</v>
      </c>
      <c r="U10" s="49">
        <v>65.099999999999994</v>
      </c>
      <c r="V10" s="49">
        <v>0.43</v>
      </c>
      <c r="W10" s="49">
        <v>25</v>
      </c>
      <c r="X10" s="52">
        <v>140</v>
      </c>
      <c r="Y10" s="53">
        <v>233</v>
      </c>
      <c r="Z10" s="54">
        <v>1.07</v>
      </c>
      <c r="AA10" s="55">
        <v>3500</v>
      </c>
      <c r="AB10" s="56">
        <v>2</v>
      </c>
      <c r="AC10" s="57">
        <v>70</v>
      </c>
      <c r="AD10" s="57">
        <v>20</v>
      </c>
      <c r="AE10" s="58">
        <v>20</v>
      </c>
      <c r="AF10" s="73">
        <v>1.0629999999999999</v>
      </c>
      <c r="AG10" s="60">
        <v>1.05</v>
      </c>
      <c r="AH10" s="57">
        <v>270</v>
      </c>
      <c r="AI10" s="58">
        <v>99</v>
      </c>
      <c r="AJ10" s="57">
        <v>33988</v>
      </c>
      <c r="AK10" s="49">
        <v>18</v>
      </c>
      <c r="AL10" s="60">
        <v>1.06</v>
      </c>
      <c r="AM10" s="49">
        <v>5.29</v>
      </c>
      <c r="AN10" s="61">
        <v>34</v>
      </c>
      <c r="AO10" s="51">
        <v>52</v>
      </c>
      <c r="AP10" s="62">
        <v>70</v>
      </c>
      <c r="AQ10" s="63">
        <v>1</v>
      </c>
      <c r="AR10" s="64">
        <v>3.42</v>
      </c>
      <c r="AS10" s="65">
        <v>8.3000000000000007</v>
      </c>
      <c r="AT10" s="65">
        <v>0.44</v>
      </c>
      <c r="AU10" s="66">
        <v>10</v>
      </c>
      <c r="AV10" s="67">
        <v>20.856100000000001</v>
      </c>
      <c r="AW10" s="65">
        <v>13140</v>
      </c>
      <c r="AX10" s="68">
        <v>25</v>
      </c>
      <c r="AY10" s="49">
        <v>210</v>
      </c>
      <c r="AZ10" s="49">
        <v>240</v>
      </c>
      <c r="BA10" s="69">
        <v>9.3000000000000007</v>
      </c>
      <c r="BB10" s="69">
        <v>585.00900000000001</v>
      </c>
      <c r="BC10" s="49">
        <v>112.8</v>
      </c>
      <c r="BD10" s="43" t="s">
        <v>57</v>
      </c>
      <c r="BE10">
        <v>0</v>
      </c>
    </row>
    <row r="11" spans="1:57" x14ac:dyDescent="0.35">
      <c r="A11" s="44">
        <v>839</v>
      </c>
      <c r="B11" s="45">
        <v>74.334345999999996</v>
      </c>
      <c r="C11" s="46">
        <v>342.9118310000768</v>
      </c>
      <c r="D11" s="47">
        <v>17</v>
      </c>
      <c r="E11" s="47">
        <v>75</v>
      </c>
      <c r="F11" s="47">
        <v>8</v>
      </c>
      <c r="G11" s="46">
        <v>4.43</v>
      </c>
      <c r="H11" s="46">
        <v>68.2</v>
      </c>
      <c r="I11" s="71">
        <v>1</v>
      </c>
      <c r="J11" s="72">
        <v>7.32</v>
      </c>
      <c r="K11" s="72">
        <v>280</v>
      </c>
      <c r="L11" s="72">
        <v>250</v>
      </c>
      <c r="M11" s="72">
        <v>36</v>
      </c>
      <c r="N11" s="72">
        <v>200</v>
      </c>
      <c r="O11" s="48">
        <v>8000</v>
      </c>
      <c r="P11" s="49">
        <v>78.400000000000006</v>
      </c>
      <c r="Q11" s="49">
        <v>85.4</v>
      </c>
      <c r="R11" s="50">
        <v>280</v>
      </c>
      <c r="S11" s="49">
        <v>76.3</v>
      </c>
      <c r="T11" s="51">
        <v>0.33</v>
      </c>
      <c r="U11" s="49">
        <v>65.3</v>
      </c>
      <c r="V11" s="49">
        <v>0.45</v>
      </c>
      <c r="W11" s="49">
        <v>25</v>
      </c>
      <c r="X11" s="52">
        <v>140</v>
      </c>
      <c r="Y11" s="53">
        <v>250</v>
      </c>
      <c r="Z11" s="54">
        <v>1.073</v>
      </c>
      <c r="AA11" s="55">
        <v>3500</v>
      </c>
      <c r="AB11" s="56">
        <v>2.1</v>
      </c>
      <c r="AC11" s="57">
        <v>70</v>
      </c>
      <c r="AD11" s="57">
        <v>20</v>
      </c>
      <c r="AE11" s="58">
        <v>20</v>
      </c>
      <c r="AF11" s="73">
        <v>1.0649999999999999</v>
      </c>
      <c r="AG11" s="60">
        <v>1.052</v>
      </c>
      <c r="AH11" s="57">
        <v>265</v>
      </c>
      <c r="AI11" s="58">
        <v>99</v>
      </c>
      <c r="AJ11" s="57">
        <v>33985</v>
      </c>
      <c r="AK11" s="49">
        <v>19</v>
      </c>
      <c r="AL11" s="60">
        <v>1.0580000000000001</v>
      </c>
      <c r="AM11" s="49">
        <v>5.28</v>
      </c>
      <c r="AN11" s="61">
        <v>34</v>
      </c>
      <c r="AO11" s="51">
        <v>56</v>
      </c>
      <c r="AP11" s="62">
        <v>72</v>
      </c>
      <c r="AQ11" s="63">
        <v>1</v>
      </c>
      <c r="AR11" s="64">
        <v>3.46</v>
      </c>
      <c r="AS11" s="65">
        <v>8.3000000000000007</v>
      </c>
      <c r="AT11" s="65">
        <v>0.39</v>
      </c>
      <c r="AU11" s="66">
        <v>10</v>
      </c>
      <c r="AV11" s="67">
        <v>20.913240000000002</v>
      </c>
      <c r="AW11" s="65">
        <v>13129</v>
      </c>
      <c r="AX11" s="68">
        <v>25</v>
      </c>
      <c r="AY11" s="49">
        <v>210</v>
      </c>
      <c r="AZ11" s="49">
        <v>270</v>
      </c>
      <c r="BA11" s="69">
        <v>10</v>
      </c>
      <c r="BB11" s="69">
        <v>586.60349999999994</v>
      </c>
      <c r="BC11" s="49">
        <v>112.7</v>
      </c>
      <c r="BD11" s="43" t="s">
        <v>57</v>
      </c>
      <c r="BE11">
        <v>0</v>
      </c>
    </row>
    <row r="12" spans="1:57" x14ac:dyDescent="0.35">
      <c r="A12" s="44">
        <v>840</v>
      </c>
      <c r="B12" s="45">
        <v>74.560199999999995</v>
      </c>
      <c r="C12" s="46">
        <v>343.95371826816</v>
      </c>
      <c r="D12" s="47">
        <v>18</v>
      </c>
      <c r="E12" s="47">
        <v>76</v>
      </c>
      <c r="F12" s="47">
        <v>6</v>
      </c>
      <c r="G12" s="46">
        <v>4.41</v>
      </c>
      <c r="H12" s="46">
        <v>71.010000000000005</v>
      </c>
      <c r="I12" s="71">
        <v>1</v>
      </c>
      <c r="J12" s="72">
        <v>7.34</v>
      </c>
      <c r="K12" s="47">
        <v>301</v>
      </c>
      <c r="L12" s="47">
        <v>275</v>
      </c>
      <c r="M12" s="47">
        <v>32</v>
      </c>
      <c r="N12" s="47">
        <v>200</v>
      </c>
      <c r="O12" s="48">
        <v>8000</v>
      </c>
      <c r="P12" s="49">
        <v>78.400000000000006</v>
      </c>
      <c r="Q12" s="49">
        <v>85.5</v>
      </c>
      <c r="R12" s="50">
        <v>280</v>
      </c>
      <c r="S12" s="49">
        <v>76.5</v>
      </c>
      <c r="T12" s="51">
        <v>0.33</v>
      </c>
      <c r="U12" s="49">
        <v>65.5</v>
      </c>
      <c r="V12" s="49">
        <v>0.39</v>
      </c>
      <c r="W12" s="49">
        <v>25</v>
      </c>
      <c r="X12" s="52">
        <v>140</v>
      </c>
      <c r="Y12" s="53">
        <v>240</v>
      </c>
      <c r="Z12" s="54">
        <v>1.071</v>
      </c>
      <c r="AA12" s="55">
        <v>3500</v>
      </c>
      <c r="AB12" s="56">
        <v>2</v>
      </c>
      <c r="AC12" s="57">
        <v>70</v>
      </c>
      <c r="AD12" s="57">
        <v>20</v>
      </c>
      <c r="AE12" s="58">
        <v>20</v>
      </c>
      <c r="AF12" s="73">
        <v>1.0649999999999999</v>
      </c>
      <c r="AG12" s="60">
        <v>1.052</v>
      </c>
      <c r="AH12" s="57">
        <v>260</v>
      </c>
      <c r="AI12" s="58">
        <v>99</v>
      </c>
      <c r="AJ12" s="57">
        <v>33986</v>
      </c>
      <c r="AK12" s="49">
        <v>19</v>
      </c>
      <c r="AL12" s="60">
        <v>1.06</v>
      </c>
      <c r="AM12" s="49">
        <v>5.25</v>
      </c>
      <c r="AN12" s="61">
        <v>34</v>
      </c>
      <c r="AO12" s="51">
        <v>50</v>
      </c>
      <c r="AP12" s="62">
        <v>70</v>
      </c>
      <c r="AQ12" s="63">
        <v>1</v>
      </c>
      <c r="AR12" s="64">
        <v>3.41</v>
      </c>
      <c r="AS12" s="65">
        <v>8.3000000000000007</v>
      </c>
      <c r="AT12" s="65">
        <v>0.47</v>
      </c>
      <c r="AU12" s="66">
        <v>10</v>
      </c>
      <c r="AV12" s="67">
        <v>20.970380000000002</v>
      </c>
      <c r="AW12" s="65">
        <v>13080</v>
      </c>
      <c r="AX12" s="68">
        <v>25</v>
      </c>
      <c r="AY12" s="49">
        <v>210</v>
      </c>
      <c r="AZ12" s="49">
        <v>240</v>
      </c>
      <c r="BA12" s="69">
        <v>9.3000000000000007</v>
      </c>
      <c r="BB12" s="69">
        <v>584.72699999999998</v>
      </c>
      <c r="BC12" s="49">
        <v>112.8</v>
      </c>
      <c r="BD12" s="70" t="s">
        <v>58</v>
      </c>
      <c r="BE12">
        <v>1</v>
      </c>
    </row>
    <row r="13" spans="1:57" x14ac:dyDescent="0.35">
      <c r="A13" s="44">
        <v>841</v>
      </c>
      <c r="B13" s="45">
        <v>74.206516999999991</v>
      </c>
      <c r="C13" s="46">
        <v>342.32214293791355</v>
      </c>
      <c r="D13" s="47">
        <v>17</v>
      </c>
      <c r="E13" s="47">
        <v>76</v>
      </c>
      <c r="F13" s="47">
        <v>7</v>
      </c>
      <c r="G13" s="46">
        <v>4.41</v>
      </c>
      <c r="H13" s="46">
        <v>70.989999999999995</v>
      </c>
      <c r="I13" s="71">
        <v>1</v>
      </c>
      <c r="J13" s="72">
        <v>7.34</v>
      </c>
      <c r="K13" s="47">
        <v>301</v>
      </c>
      <c r="L13" s="47">
        <v>275</v>
      </c>
      <c r="M13" s="47">
        <v>32</v>
      </c>
      <c r="N13" s="47">
        <v>200</v>
      </c>
      <c r="O13" s="48">
        <v>8000</v>
      </c>
      <c r="P13" s="49">
        <v>78.599999999999994</v>
      </c>
      <c r="Q13" s="49">
        <v>85.6</v>
      </c>
      <c r="R13" s="50">
        <v>300</v>
      </c>
      <c r="S13" s="49">
        <v>76.599999999999994</v>
      </c>
      <c r="T13" s="51">
        <v>0.33</v>
      </c>
      <c r="U13" s="49">
        <v>65</v>
      </c>
      <c r="V13" s="49">
        <v>0.39</v>
      </c>
      <c r="W13" s="49">
        <v>25</v>
      </c>
      <c r="X13" s="52">
        <v>140</v>
      </c>
      <c r="Y13" s="53">
        <v>233</v>
      </c>
      <c r="Z13" s="54">
        <v>1.075</v>
      </c>
      <c r="AA13" s="55">
        <v>3500</v>
      </c>
      <c r="AB13" s="56">
        <v>2</v>
      </c>
      <c r="AC13" s="57">
        <v>70</v>
      </c>
      <c r="AD13" s="57">
        <v>20</v>
      </c>
      <c r="AE13" s="58">
        <v>20</v>
      </c>
      <c r="AF13" s="73">
        <v>1.0609999999999999</v>
      </c>
      <c r="AG13" s="60">
        <v>1.05</v>
      </c>
      <c r="AH13" s="57">
        <v>255</v>
      </c>
      <c r="AI13" s="58">
        <v>99</v>
      </c>
      <c r="AJ13" s="57">
        <v>33986</v>
      </c>
      <c r="AK13" s="49">
        <v>18</v>
      </c>
      <c r="AL13" s="60">
        <v>1.06</v>
      </c>
      <c r="AM13" s="49">
        <v>5.33</v>
      </c>
      <c r="AN13" s="61">
        <v>34</v>
      </c>
      <c r="AO13" s="51">
        <v>52</v>
      </c>
      <c r="AP13" s="62">
        <v>72</v>
      </c>
      <c r="AQ13" s="63">
        <v>1</v>
      </c>
      <c r="AR13" s="64">
        <v>3.44</v>
      </c>
      <c r="AS13" s="65">
        <v>8.3000000000000007</v>
      </c>
      <c r="AT13" s="65">
        <v>0.43</v>
      </c>
      <c r="AU13" s="66">
        <v>10</v>
      </c>
      <c r="AV13" s="67">
        <v>20.856100000000001</v>
      </c>
      <c r="AW13" s="65">
        <v>13137</v>
      </c>
      <c r="AX13" s="68">
        <v>25</v>
      </c>
      <c r="AY13" s="49">
        <v>210</v>
      </c>
      <c r="AZ13" s="49">
        <v>240</v>
      </c>
      <c r="BA13" s="69">
        <v>9.3000000000000007</v>
      </c>
      <c r="BB13" s="69">
        <v>584.53975000000003</v>
      </c>
      <c r="BC13" s="49">
        <v>112.9</v>
      </c>
      <c r="BD13" s="70" t="s">
        <v>58</v>
      </c>
      <c r="BE13">
        <v>1</v>
      </c>
    </row>
    <row r="14" spans="1:57" x14ac:dyDescent="0.35">
      <c r="A14" s="44">
        <v>842</v>
      </c>
      <c r="B14" s="45">
        <v>74.623295999999996</v>
      </c>
      <c r="C14" s="46">
        <v>344.24478647623681</v>
      </c>
      <c r="D14" s="47">
        <v>18</v>
      </c>
      <c r="E14" s="47">
        <v>76</v>
      </c>
      <c r="F14" s="47">
        <v>6</v>
      </c>
      <c r="G14" s="46">
        <v>4.72</v>
      </c>
      <c r="H14" s="46">
        <v>69.22</v>
      </c>
      <c r="I14" s="71">
        <v>1</v>
      </c>
      <c r="J14" s="46">
        <v>7.7</v>
      </c>
      <c r="K14" s="47">
        <v>330</v>
      </c>
      <c r="L14" s="47">
        <v>225</v>
      </c>
      <c r="M14" s="47">
        <v>46</v>
      </c>
      <c r="N14" s="47">
        <v>150</v>
      </c>
      <c r="O14" s="48">
        <v>8000</v>
      </c>
      <c r="P14" s="49">
        <v>78.400000000000006</v>
      </c>
      <c r="Q14" s="49">
        <v>85.4</v>
      </c>
      <c r="R14" s="49">
        <v>295</v>
      </c>
      <c r="S14" s="49">
        <v>75.400000000000006</v>
      </c>
      <c r="T14" s="51">
        <v>0.33</v>
      </c>
      <c r="U14" s="49">
        <v>65.400000000000006</v>
      </c>
      <c r="V14" s="49">
        <v>0.4</v>
      </c>
      <c r="W14" s="49">
        <v>25</v>
      </c>
      <c r="X14" s="52">
        <v>140</v>
      </c>
      <c r="Y14" s="53">
        <v>250</v>
      </c>
      <c r="Z14" s="54">
        <v>1.075</v>
      </c>
      <c r="AA14" s="55">
        <v>3500</v>
      </c>
      <c r="AB14" s="56">
        <v>2.2000000000000002</v>
      </c>
      <c r="AC14" s="57">
        <v>71</v>
      </c>
      <c r="AD14" s="57">
        <v>20</v>
      </c>
      <c r="AE14" s="58">
        <v>20</v>
      </c>
      <c r="AF14" s="73">
        <v>1.0620000000000001</v>
      </c>
      <c r="AG14" s="60">
        <v>1.0509999999999999</v>
      </c>
      <c r="AH14" s="57">
        <v>275</v>
      </c>
      <c r="AI14" s="58">
        <v>99</v>
      </c>
      <c r="AJ14" s="57">
        <v>33987</v>
      </c>
      <c r="AK14" s="49">
        <v>18</v>
      </c>
      <c r="AL14" s="60">
        <v>1.0589999999999999</v>
      </c>
      <c r="AM14" s="49">
        <v>5.29</v>
      </c>
      <c r="AN14" s="61">
        <v>34</v>
      </c>
      <c r="AO14" s="51">
        <v>52</v>
      </c>
      <c r="AP14" s="62">
        <v>70</v>
      </c>
      <c r="AQ14" s="63">
        <v>1</v>
      </c>
      <c r="AR14" s="64">
        <v>3.47</v>
      </c>
      <c r="AS14" s="65">
        <v>8.3000000000000007</v>
      </c>
      <c r="AT14" s="65">
        <v>0.45</v>
      </c>
      <c r="AU14" s="66">
        <v>10</v>
      </c>
      <c r="AV14" s="67">
        <v>20.913240000000002</v>
      </c>
      <c r="AW14" s="65">
        <v>13142</v>
      </c>
      <c r="AX14" s="68">
        <v>25</v>
      </c>
      <c r="AY14" s="49">
        <v>210</v>
      </c>
      <c r="AZ14" s="49">
        <v>240</v>
      </c>
      <c r="BA14" s="69">
        <v>9.3000000000000007</v>
      </c>
      <c r="BB14" s="69">
        <v>585.24537500000008</v>
      </c>
      <c r="BC14" s="49">
        <v>112.9</v>
      </c>
      <c r="BD14" s="43" t="s">
        <v>57</v>
      </c>
      <c r="BE14">
        <v>0</v>
      </c>
    </row>
    <row r="15" spans="1:57" x14ac:dyDescent="0.35">
      <c r="A15" s="44">
        <v>843</v>
      </c>
      <c r="B15" s="45">
        <v>74.386861999999994</v>
      </c>
      <c r="C15" s="46">
        <v>343.15409260168963</v>
      </c>
      <c r="D15" s="47">
        <v>17</v>
      </c>
      <c r="E15" s="47">
        <v>75</v>
      </c>
      <c r="F15" s="47">
        <v>8</v>
      </c>
      <c r="G15" s="46">
        <v>4.62</v>
      </c>
      <c r="H15" s="46">
        <v>70.099999999999994</v>
      </c>
      <c r="I15" s="71">
        <v>1</v>
      </c>
      <c r="J15" s="46">
        <v>7.7</v>
      </c>
      <c r="K15" s="47">
        <v>330</v>
      </c>
      <c r="L15" s="47">
        <v>225</v>
      </c>
      <c r="M15" s="47">
        <v>46</v>
      </c>
      <c r="N15" s="47">
        <v>150</v>
      </c>
      <c r="O15" s="48">
        <v>8000</v>
      </c>
      <c r="P15" s="49">
        <v>78.5</v>
      </c>
      <c r="Q15" s="49">
        <v>85.6</v>
      </c>
      <c r="R15" s="50">
        <v>295</v>
      </c>
      <c r="S15" s="49">
        <v>75.400000000000006</v>
      </c>
      <c r="T15" s="51">
        <v>0.33</v>
      </c>
      <c r="U15" s="49">
        <v>65.7</v>
      </c>
      <c r="V15" s="49">
        <v>0.39</v>
      </c>
      <c r="W15" s="49">
        <v>25</v>
      </c>
      <c r="X15" s="52">
        <v>140</v>
      </c>
      <c r="Y15" s="53">
        <v>250</v>
      </c>
      <c r="Z15" s="54">
        <v>1.0720000000000001</v>
      </c>
      <c r="AA15" s="55">
        <v>3500</v>
      </c>
      <c r="AB15" s="56">
        <v>2.1</v>
      </c>
      <c r="AC15" s="57">
        <v>70</v>
      </c>
      <c r="AD15" s="57">
        <v>20</v>
      </c>
      <c r="AE15" s="58">
        <v>20</v>
      </c>
      <c r="AF15" s="59">
        <v>1.0609999999999999</v>
      </c>
      <c r="AG15" s="60">
        <v>1.0509999999999999</v>
      </c>
      <c r="AH15" s="57">
        <v>270</v>
      </c>
      <c r="AI15" s="58">
        <v>99</v>
      </c>
      <c r="AJ15" s="57">
        <v>33974</v>
      </c>
      <c r="AK15" s="49">
        <v>19</v>
      </c>
      <c r="AL15" s="60">
        <v>1.06</v>
      </c>
      <c r="AM15" s="49">
        <v>5.31</v>
      </c>
      <c r="AN15" s="61">
        <v>34</v>
      </c>
      <c r="AO15" s="51">
        <v>52</v>
      </c>
      <c r="AP15" s="62">
        <v>74</v>
      </c>
      <c r="AQ15" s="63">
        <v>1</v>
      </c>
      <c r="AR15" s="64">
        <v>5.31</v>
      </c>
      <c r="AS15" s="65">
        <v>8.3000000000000007</v>
      </c>
      <c r="AT15" s="65">
        <v>0.41</v>
      </c>
      <c r="AU15" s="66">
        <v>10</v>
      </c>
      <c r="AV15" s="67">
        <v>20.856100000000001</v>
      </c>
      <c r="AW15" s="65">
        <v>13139</v>
      </c>
      <c r="AX15" s="68">
        <v>25</v>
      </c>
      <c r="AY15" s="49">
        <v>210</v>
      </c>
      <c r="AZ15" s="49">
        <v>235</v>
      </c>
      <c r="BA15" s="69">
        <v>9.25</v>
      </c>
      <c r="BB15" s="69">
        <v>584.35125000000005</v>
      </c>
      <c r="BC15" s="49">
        <v>113</v>
      </c>
      <c r="BD15" s="43" t="s">
        <v>57</v>
      </c>
      <c r="BE15">
        <v>0</v>
      </c>
    </row>
    <row r="16" spans="1:57" x14ac:dyDescent="0.35">
      <c r="A16" s="44">
        <v>844</v>
      </c>
      <c r="B16" s="45">
        <v>74.424130999999988</v>
      </c>
      <c r="C16" s="46">
        <v>343.32601825540479</v>
      </c>
      <c r="D16" s="47">
        <v>18</v>
      </c>
      <c r="E16" s="47">
        <v>76</v>
      </c>
      <c r="F16" s="47">
        <v>6</v>
      </c>
      <c r="G16" s="46">
        <v>4.67</v>
      </c>
      <c r="H16" s="46">
        <v>69.62</v>
      </c>
      <c r="I16" s="71">
        <v>1</v>
      </c>
      <c r="J16" s="46">
        <v>7.49</v>
      </c>
      <c r="K16" s="47">
        <v>334</v>
      </c>
      <c r="L16" s="47">
        <v>225</v>
      </c>
      <c r="M16" s="47">
        <v>44</v>
      </c>
      <c r="N16" s="47">
        <v>150</v>
      </c>
      <c r="O16" s="48">
        <v>8000</v>
      </c>
      <c r="P16" s="49">
        <v>78.5</v>
      </c>
      <c r="Q16" s="49">
        <v>85.4</v>
      </c>
      <c r="R16" s="50">
        <v>290</v>
      </c>
      <c r="S16" s="49">
        <v>76.5</v>
      </c>
      <c r="T16" s="51">
        <v>0.33</v>
      </c>
      <c r="U16" s="49">
        <v>65.2</v>
      </c>
      <c r="V16" s="49">
        <v>0.41</v>
      </c>
      <c r="W16" s="49">
        <v>25</v>
      </c>
      <c r="X16" s="52">
        <v>140</v>
      </c>
      <c r="Y16" s="53">
        <v>305</v>
      </c>
      <c r="Z16" s="54">
        <v>1.07</v>
      </c>
      <c r="AA16" s="55">
        <v>3500</v>
      </c>
      <c r="AB16" s="56">
        <v>2</v>
      </c>
      <c r="AC16" s="57">
        <v>70</v>
      </c>
      <c r="AD16" s="57">
        <v>20</v>
      </c>
      <c r="AE16" s="58">
        <v>20</v>
      </c>
      <c r="AF16" s="59">
        <v>1.0620000000000001</v>
      </c>
      <c r="AG16" s="60">
        <v>1.052</v>
      </c>
      <c r="AH16" s="57">
        <v>265</v>
      </c>
      <c r="AI16" s="58">
        <v>99</v>
      </c>
      <c r="AJ16" s="57">
        <v>33985</v>
      </c>
      <c r="AK16" s="49">
        <v>19</v>
      </c>
      <c r="AL16" s="60">
        <v>1.06</v>
      </c>
      <c r="AM16" s="49">
        <v>5.29</v>
      </c>
      <c r="AN16" s="61">
        <v>34</v>
      </c>
      <c r="AO16" s="51">
        <v>54</v>
      </c>
      <c r="AP16" s="62">
        <v>74</v>
      </c>
      <c r="AQ16" s="63">
        <v>1</v>
      </c>
      <c r="AR16" s="64">
        <v>3.48</v>
      </c>
      <c r="AS16" s="65">
        <v>8.1999999999999993</v>
      </c>
      <c r="AT16" s="65">
        <v>0.47</v>
      </c>
      <c r="AU16" s="66">
        <v>10</v>
      </c>
      <c r="AV16" s="67">
        <v>20.741820000000001</v>
      </c>
      <c r="AW16" s="65">
        <v>13133</v>
      </c>
      <c r="AX16" s="68">
        <v>25</v>
      </c>
      <c r="AY16" s="49">
        <v>210</v>
      </c>
      <c r="AZ16" s="49">
        <v>240</v>
      </c>
      <c r="BA16" s="69">
        <v>9.3000000000000007</v>
      </c>
      <c r="BB16" s="69">
        <v>584.11637500000006</v>
      </c>
      <c r="BC16" s="49">
        <v>112.9</v>
      </c>
      <c r="BD16" s="43" t="s">
        <v>57</v>
      </c>
      <c r="BE16">
        <v>0</v>
      </c>
    </row>
    <row r="17" spans="1:57" x14ac:dyDescent="0.35">
      <c r="A17" s="44">
        <v>845</v>
      </c>
      <c r="B17" s="45">
        <v>74.075173000000007</v>
      </c>
      <c r="C17" s="46">
        <v>341.71623982643848</v>
      </c>
      <c r="D17" s="47">
        <v>17</v>
      </c>
      <c r="E17" s="47">
        <v>76</v>
      </c>
      <c r="F17" s="47">
        <v>7</v>
      </c>
      <c r="G17" s="46">
        <v>4.53</v>
      </c>
      <c r="H17" s="46">
        <v>69.2</v>
      </c>
      <c r="I17" s="71">
        <v>1</v>
      </c>
      <c r="J17" s="46">
        <v>7.49</v>
      </c>
      <c r="K17" s="47">
        <v>334</v>
      </c>
      <c r="L17" s="47">
        <v>225</v>
      </c>
      <c r="M17" s="47">
        <v>44</v>
      </c>
      <c r="N17" s="47">
        <v>150</v>
      </c>
      <c r="O17" s="48">
        <v>8000</v>
      </c>
      <c r="P17" s="49">
        <v>78.599999999999994</v>
      </c>
      <c r="Q17" s="49">
        <v>85.6</v>
      </c>
      <c r="R17" s="50">
        <v>280</v>
      </c>
      <c r="S17" s="49">
        <v>76.599999999999994</v>
      </c>
      <c r="T17" s="51">
        <v>0.33</v>
      </c>
      <c r="U17" s="49">
        <v>65.599999999999994</v>
      </c>
      <c r="V17" s="49">
        <v>0.44</v>
      </c>
      <c r="W17" s="49">
        <v>25</v>
      </c>
      <c r="X17" s="52">
        <v>140</v>
      </c>
      <c r="Y17" s="53">
        <v>295</v>
      </c>
      <c r="Z17" s="54">
        <v>1.069</v>
      </c>
      <c r="AA17" s="55">
        <v>3500</v>
      </c>
      <c r="AB17" s="56">
        <v>2</v>
      </c>
      <c r="AC17" s="57">
        <v>70</v>
      </c>
      <c r="AD17" s="57">
        <v>20</v>
      </c>
      <c r="AE17" s="58">
        <v>20</v>
      </c>
      <c r="AF17" s="59">
        <v>1.0609999999999999</v>
      </c>
      <c r="AG17" s="60">
        <v>1.05</v>
      </c>
      <c r="AH17" s="57">
        <v>260</v>
      </c>
      <c r="AI17" s="58">
        <v>99</v>
      </c>
      <c r="AJ17" s="57">
        <v>33986</v>
      </c>
      <c r="AK17" s="49">
        <v>19</v>
      </c>
      <c r="AL17" s="60">
        <v>1.06</v>
      </c>
      <c r="AM17" s="49">
        <v>5.33</v>
      </c>
      <c r="AN17" s="61">
        <v>33</v>
      </c>
      <c r="AO17" s="51">
        <v>52</v>
      </c>
      <c r="AP17" s="62">
        <v>72</v>
      </c>
      <c r="AQ17" s="63">
        <v>1</v>
      </c>
      <c r="AR17" s="64">
        <v>3.49</v>
      </c>
      <c r="AS17" s="65">
        <v>8.3000000000000007</v>
      </c>
      <c r="AT17" s="65">
        <v>0.48</v>
      </c>
      <c r="AU17" s="66">
        <v>9.3000000000000007</v>
      </c>
      <c r="AV17" s="67">
        <v>20.856100000000001</v>
      </c>
      <c r="AW17" s="65">
        <v>13154</v>
      </c>
      <c r="AX17" s="68">
        <v>25</v>
      </c>
      <c r="AY17" s="49">
        <v>210</v>
      </c>
      <c r="AZ17" s="49">
        <v>235</v>
      </c>
      <c r="BA17" s="69">
        <v>9.25</v>
      </c>
      <c r="BB17" s="69">
        <v>585.34</v>
      </c>
      <c r="BC17" s="49">
        <v>113</v>
      </c>
      <c r="BD17" s="43" t="s">
        <v>57</v>
      </c>
      <c r="BE17">
        <v>0</v>
      </c>
    </row>
    <row r="18" spans="1:57" x14ac:dyDescent="0.35">
      <c r="A18" s="44">
        <v>846</v>
      </c>
      <c r="B18" s="45">
        <v>74.143205999999992</v>
      </c>
      <c r="C18" s="46">
        <v>342.03008291316479</v>
      </c>
      <c r="D18" s="47">
        <v>17</v>
      </c>
      <c r="E18" s="47">
        <v>75</v>
      </c>
      <c r="F18" s="47">
        <v>8</v>
      </c>
      <c r="G18" s="46">
        <v>4.43</v>
      </c>
      <c r="H18" s="46">
        <v>70.11</v>
      </c>
      <c r="I18" s="74">
        <v>1</v>
      </c>
      <c r="J18" s="76">
        <v>7.43</v>
      </c>
      <c r="K18" s="76">
        <v>338</v>
      </c>
      <c r="L18" s="76">
        <v>225</v>
      </c>
      <c r="M18" s="76">
        <v>44</v>
      </c>
      <c r="N18" s="76">
        <v>150</v>
      </c>
      <c r="O18" s="48">
        <v>8000</v>
      </c>
      <c r="P18" s="49">
        <v>78.5</v>
      </c>
      <c r="Q18" s="49">
        <v>85.5</v>
      </c>
      <c r="R18" s="50">
        <v>290</v>
      </c>
      <c r="S18" s="49">
        <v>76.2</v>
      </c>
      <c r="T18" s="51">
        <v>0.33</v>
      </c>
      <c r="U18" s="49">
        <v>65</v>
      </c>
      <c r="V18" s="49">
        <v>0.4</v>
      </c>
      <c r="W18" s="49">
        <v>25</v>
      </c>
      <c r="X18" s="52">
        <v>140</v>
      </c>
      <c r="Y18" s="53">
        <v>298</v>
      </c>
      <c r="Z18" s="54">
        <v>1.073</v>
      </c>
      <c r="AA18" s="55">
        <v>3500</v>
      </c>
      <c r="AB18" s="56">
        <v>2.1</v>
      </c>
      <c r="AC18" s="57">
        <v>70</v>
      </c>
      <c r="AD18" s="57">
        <v>20</v>
      </c>
      <c r="AE18" s="58">
        <v>20</v>
      </c>
      <c r="AF18" s="59">
        <v>1.0620000000000001</v>
      </c>
      <c r="AG18" s="60">
        <v>1.05</v>
      </c>
      <c r="AH18" s="57">
        <v>265</v>
      </c>
      <c r="AI18" s="58">
        <v>99</v>
      </c>
      <c r="AJ18" s="57">
        <v>33986</v>
      </c>
      <c r="AK18" s="49">
        <v>19</v>
      </c>
      <c r="AL18" s="60">
        <v>1.06</v>
      </c>
      <c r="AM18" s="49">
        <v>5.28</v>
      </c>
      <c r="AN18" s="61">
        <v>34</v>
      </c>
      <c r="AO18" s="51">
        <v>50</v>
      </c>
      <c r="AP18" s="62">
        <v>70</v>
      </c>
      <c r="AQ18" s="63">
        <v>1</v>
      </c>
      <c r="AR18" s="64">
        <v>3.44</v>
      </c>
      <c r="AS18" s="65">
        <v>8.3000000000000007</v>
      </c>
      <c r="AT18" s="65">
        <v>0.48</v>
      </c>
      <c r="AU18" s="66">
        <v>10</v>
      </c>
      <c r="AV18" s="67">
        <v>20.913240000000002</v>
      </c>
      <c r="AW18" s="65">
        <v>13139</v>
      </c>
      <c r="AX18" s="68">
        <v>25</v>
      </c>
      <c r="AY18" s="49">
        <v>210</v>
      </c>
      <c r="AZ18" s="49">
        <v>240</v>
      </c>
      <c r="BA18" s="69">
        <v>9.3000000000000007</v>
      </c>
      <c r="BB18" s="69">
        <v>585.47649999999999</v>
      </c>
      <c r="BC18" s="49">
        <v>112.7</v>
      </c>
      <c r="BD18" s="43" t="s">
        <v>57</v>
      </c>
      <c r="BE18">
        <v>0</v>
      </c>
    </row>
    <row r="19" spans="1:57" x14ac:dyDescent="0.35">
      <c r="A19" s="44">
        <v>847</v>
      </c>
      <c r="B19" s="45">
        <v>74.075173000000007</v>
      </c>
      <c r="C19" s="46">
        <v>341.71623982643848</v>
      </c>
      <c r="D19" s="47">
        <v>17</v>
      </c>
      <c r="E19" s="47">
        <v>75</v>
      </c>
      <c r="F19" s="47">
        <v>8</v>
      </c>
      <c r="G19" s="46">
        <v>4.53</v>
      </c>
      <c r="H19" s="46">
        <v>71</v>
      </c>
      <c r="I19" s="74">
        <v>1</v>
      </c>
      <c r="J19" s="76">
        <v>7.43</v>
      </c>
      <c r="K19" s="76">
        <v>338</v>
      </c>
      <c r="L19" s="76">
        <v>225</v>
      </c>
      <c r="M19" s="76">
        <v>44</v>
      </c>
      <c r="N19" s="76">
        <v>150</v>
      </c>
      <c r="O19" s="48">
        <v>8000</v>
      </c>
      <c r="P19" s="49">
        <v>78.400000000000006</v>
      </c>
      <c r="Q19" s="49">
        <v>85.4</v>
      </c>
      <c r="R19" s="49">
        <v>302</v>
      </c>
      <c r="S19" s="49">
        <v>76.400000000000006</v>
      </c>
      <c r="T19" s="51">
        <v>0.33</v>
      </c>
      <c r="U19" s="49">
        <v>65.099999999999994</v>
      </c>
      <c r="V19" s="49">
        <v>0.39</v>
      </c>
      <c r="W19" s="49">
        <v>25</v>
      </c>
      <c r="X19" s="52">
        <v>140</v>
      </c>
      <c r="Y19" s="53">
        <v>299</v>
      </c>
      <c r="Z19" s="54">
        <v>1.075</v>
      </c>
      <c r="AA19" s="55">
        <v>3500</v>
      </c>
      <c r="AB19" s="56">
        <v>2.2000000000000002</v>
      </c>
      <c r="AC19" s="57">
        <v>71</v>
      </c>
      <c r="AD19" s="57">
        <v>20</v>
      </c>
      <c r="AE19" s="58">
        <v>20</v>
      </c>
      <c r="AF19" s="59">
        <v>1.0640000000000001</v>
      </c>
      <c r="AG19" s="60">
        <v>1.054</v>
      </c>
      <c r="AH19" s="57">
        <v>260</v>
      </c>
      <c r="AI19" s="58">
        <v>99</v>
      </c>
      <c r="AJ19" s="57">
        <v>33988</v>
      </c>
      <c r="AK19" s="49">
        <v>19</v>
      </c>
      <c r="AL19" s="60">
        <v>1.06</v>
      </c>
      <c r="AM19" s="49">
        <v>5.29</v>
      </c>
      <c r="AN19" s="61">
        <v>34</v>
      </c>
      <c r="AO19" s="51">
        <v>50</v>
      </c>
      <c r="AP19" s="62">
        <v>72</v>
      </c>
      <c r="AQ19" s="63">
        <v>1</v>
      </c>
      <c r="AR19" s="64">
        <v>3.42</v>
      </c>
      <c r="AS19" s="65">
        <v>8.3000000000000007</v>
      </c>
      <c r="AT19" s="65">
        <v>0.44</v>
      </c>
      <c r="AU19" s="66">
        <v>10</v>
      </c>
      <c r="AV19" s="67">
        <v>20.913240000000002</v>
      </c>
      <c r="AW19" s="65">
        <v>13117</v>
      </c>
      <c r="AX19" s="68">
        <v>25</v>
      </c>
      <c r="AY19" s="49">
        <v>210</v>
      </c>
      <c r="AZ19" s="49">
        <v>240</v>
      </c>
      <c r="BA19" s="69">
        <v>9.3000000000000007</v>
      </c>
      <c r="BB19" s="69">
        <v>586.1875</v>
      </c>
      <c r="BC19" s="49">
        <v>113</v>
      </c>
      <c r="BD19" s="43" t="s">
        <v>57</v>
      </c>
      <c r="BE19">
        <v>0</v>
      </c>
    </row>
    <row r="20" spans="1:57" x14ac:dyDescent="0.35">
      <c r="A20" s="44">
        <v>848</v>
      </c>
      <c r="B20" s="45">
        <v>74.143205999999992</v>
      </c>
      <c r="C20" s="46">
        <v>342.03008291316479</v>
      </c>
      <c r="D20" s="47">
        <v>18</v>
      </c>
      <c r="E20" s="47">
        <v>76</v>
      </c>
      <c r="F20" s="47">
        <v>6</v>
      </c>
      <c r="G20" s="46">
        <v>4.43</v>
      </c>
      <c r="H20" s="46">
        <v>69.989999999999995</v>
      </c>
      <c r="I20" s="74">
        <v>1</v>
      </c>
      <c r="J20" s="76">
        <v>7.42</v>
      </c>
      <c r="K20" s="76">
        <v>339</v>
      </c>
      <c r="L20" s="76">
        <v>225</v>
      </c>
      <c r="M20" s="76">
        <v>42</v>
      </c>
      <c r="N20" s="76">
        <v>150</v>
      </c>
      <c r="O20" s="48">
        <v>8000</v>
      </c>
      <c r="P20" s="49">
        <v>78.5</v>
      </c>
      <c r="Q20" s="49">
        <v>85.4</v>
      </c>
      <c r="R20" s="50">
        <v>290</v>
      </c>
      <c r="S20" s="49">
        <v>76</v>
      </c>
      <c r="T20" s="51">
        <v>0.33</v>
      </c>
      <c r="U20" s="49">
        <v>65.3</v>
      </c>
      <c r="V20" s="49">
        <v>0.4</v>
      </c>
      <c r="W20" s="49">
        <v>25</v>
      </c>
      <c r="X20" s="52">
        <v>140</v>
      </c>
      <c r="Y20" s="53">
        <v>299</v>
      </c>
      <c r="Z20" s="54">
        <v>1.071</v>
      </c>
      <c r="AA20" s="55">
        <v>3500</v>
      </c>
      <c r="AB20" s="56">
        <v>2.2000000000000002</v>
      </c>
      <c r="AC20" s="57">
        <v>70</v>
      </c>
      <c r="AD20" s="57">
        <v>20</v>
      </c>
      <c r="AE20" s="58">
        <v>20</v>
      </c>
      <c r="AF20" s="59">
        <v>1.0640000000000001</v>
      </c>
      <c r="AG20" s="60">
        <v>1.0529999999999999</v>
      </c>
      <c r="AH20" s="57">
        <v>270</v>
      </c>
      <c r="AI20" s="58">
        <v>99</v>
      </c>
      <c r="AJ20" s="57">
        <v>33981</v>
      </c>
      <c r="AK20" s="49">
        <v>18</v>
      </c>
      <c r="AL20" s="60">
        <v>1.06</v>
      </c>
      <c r="AM20" s="49">
        <v>5.31</v>
      </c>
      <c r="AN20" s="61">
        <v>33</v>
      </c>
      <c r="AO20" s="51">
        <v>54</v>
      </c>
      <c r="AP20" s="62">
        <v>74</v>
      </c>
      <c r="AQ20" s="63">
        <v>1</v>
      </c>
      <c r="AR20" s="64">
        <v>3.48</v>
      </c>
      <c r="AS20" s="65">
        <v>8.3000000000000007</v>
      </c>
      <c r="AT20" s="65">
        <v>0.47</v>
      </c>
      <c r="AU20" s="66">
        <v>10</v>
      </c>
      <c r="AV20" s="67">
        <v>20.856100000000001</v>
      </c>
      <c r="AW20" s="65">
        <v>13143</v>
      </c>
      <c r="AX20" s="68">
        <v>25</v>
      </c>
      <c r="AY20" s="49">
        <v>210</v>
      </c>
      <c r="AZ20" s="49">
        <v>240</v>
      </c>
      <c r="BA20" s="69">
        <v>9.3000000000000007</v>
      </c>
      <c r="BB20" s="69">
        <v>584.63374999999996</v>
      </c>
      <c r="BC20" s="49">
        <v>113</v>
      </c>
      <c r="BD20" s="43" t="s">
        <v>57</v>
      </c>
      <c r="BE20">
        <v>0</v>
      </c>
    </row>
    <row r="21" spans="1:57" x14ac:dyDescent="0.35">
      <c r="A21" s="44">
        <v>849</v>
      </c>
      <c r="B21" s="45">
        <v>74.373637000000002</v>
      </c>
      <c r="C21" s="46">
        <v>343.09308434360969</v>
      </c>
      <c r="D21" s="47">
        <v>18</v>
      </c>
      <c r="E21" s="47">
        <v>75</v>
      </c>
      <c r="F21" s="47">
        <v>7</v>
      </c>
      <c r="G21" s="46">
        <v>4.49</v>
      </c>
      <c r="H21" s="46">
        <v>70.14</v>
      </c>
      <c r="I21" s="74">
        <v>1</v>
      </c>
      <c r="J21" s="76">
        <v>7.42</v>
      </c>
      <c r="K21" s="76">
        <v>339</v>
      </c>
      <c r="L21" s="76">
        <v>225</v>
      </c>
      <c r="M21" s="76">
        <v>42</v>
      </c>
      <c r="N21" s="76">
        <v>150</v>
      </c>
      <c r="O21" s="48">
        <v>8000</v>
      </c>
      <c r="P21" s="62">
        <v>78.599999999999994</v>
      </c>
      <c r="Q21" s="62">
        <v>85.6</v>
      </c>
      <c r="R21" s="49">
        <v>300</v>
      </c>
      <c r="S21" s="62">
        <v>76.599999999999994</v>
      </c>
      <c r="T21" s="51">
        <v>0.33</v>
      </c>
      <c r="U21" s="49">
        <v>65</v>
      </c>
      <c r="V21" s="62">
        <v>0.41</v>
      </c>
      <c r="W21" s="49">
        <v>25</v>
      </c>
      <c r="X21" s="52">
        <v>140</v>
      </c>
      <c r="Y21" s="53">
        <v>265</v>
      </c>
      <c r="Z21" s="77">
        <v>1.0720000000000001</v>
      </c>
      <c r="AA21" s="55">
        <v>3500</v>
      </c>
      <c r="AB21" s="56">
        <v>2.1</v>
      </c>
      <c r="AC21" s="57">
        <v>70</v>
      </c>
      <c r="AD21" s="57">
        <v>20</v>
      </c>
      <c r="AE21" s="58">
        <v>20</v>
      </c>
      <c r="AF21" s="59">
        <v>1.0609999999999999</v>
      </c>
      <c r="AG21" s="60">
        <v>1.05</v>
      </c>
      <c r="AH21" s="57">
        <v>265</v>
      </c>
      <c r="AI21" s="58">
        <v>99</v>
      </c>
      <c r="AJ21" s="57">
        <v>33986</v>
      </c>
      <c r="AK21" s="49">
        <v>19</v>
      </c>
      <c r="AL21" s="60">
        <v>1.06</v>
      </c>
      <c r="AM21" s="49">
        <v>5.33</v>
      </c>
      <c r="AN21" s="61">
        <v>34</v>
      </c>
      <c r="AO21" s="51">
        <v>52</v>
      </c>
      <c r="AP21" s="62">
        <v>70</v>
      </c>
      <c r="AQ21" s="63">
        <v>1</v>
      </c>
      <c r="AR21" s="64">
        <v>3.49</v>
      </c>
      <c r="AS21" s="65">
        <v>8.3000000000000007</v>
      </c>
      <c r="AT21" s="65">
        <v>0.41</v>
      </c>
      <c r="AU21" s="66">
        <v>10</v>
      </c>
      <c r="AV21" s="67">
        <v>20.913240000000002</v>
      </c>
      <c r="AW21" s="65">
        <v>13128</v>
      </c>
      <c r="AX21" s="68">
        <v>25</v>
      </c>
      <c r="AY21" s="49">
        <v>210</v>
      </c>
      <c r="AZ21" s="49">
        <v>270</v>
      </c>
      <c r="BA21" s="69">
        <v>10</v>
      </c>
      <c r="BB21" s="69">
        <v>586.18087500000001</v>
      </c>
      <c r="BC21" s="49">
        <v>112.7</v>
      </c>
      <c r="BD21" s="70" t="s">
        <v>58</v>
      </c>
      <c r="BE21">
        <v>1</v>
      </c>
    </row>
    <row r="22" spans="1:57" x14ac:dyDescent="0.35">
      <c r="A22" s="44">
        <v>850</v>
      </c>
      <c r="B22" s="45">
        <v>74.095405999999997</v>
      </c>
      <c r="C22" s="46">
        <v>341.80957669492483</v>
      </c>
      <c r="D22" s="47">
        <v>17</v>
      </c>
      <c r="E22" s="47">
        <v>76</v>
      </c>
      <c r="F22" s="47">
        <v>7</v>
      </c>
      <c r="G22" s="46">
        <v>4.59</v>
      </c>
      <c r="H22" s="46">
        <v>69.28</v>
      </c>
      <c r="I22" s="74">
        <v>1</v>
      </c>
      <c r="J22" s="76">
        <v>7.38</v>
      </c>
      <c r="K22" s="76">
        <v>330</v>
      </c>
      <c r="L22" s="76">
        <v>225</v>
      </c>
      <c r="M22" s="76">
        <v>42</v>
      </c>
      <c r="N22" s="76">
        <v>150</v>
      </c>
      <c r="O22" s="48">
        <v>8000</v>
      </c>
      <c r="P22" s="62">
        <v>78.400000000000006</v>
      </c>
      <c r="Q22" s="62">
        <v>85.4</v>
      </c>
      <c r="R22" s="49">
        <v>280</v>
      </c>
      <c r="S22" s="62">
        <v>75.400000000000006</v>
      </c>
      <c r="T22" s="51">
        <v>0.33</v>
      </c>
      <c r="U22" s="49">
        <v>65</v>
      </c>
      <c r="V22" s="62">
        <v>0.42</v>
      </c>
      <c r="W22" s="49">
        <v>25</v>
      </c>
      <c r="X22" s="52">
        <v>140</v>
      </c>
      <c r="Y22" s="53">
        <v>270</v>
      </c>
      <c r="Z22" s="77">
        <v>1.0720000000000001</v>
      </c>
      <c r="AA22" s="55">
        <v>3500</v>
      </c>
      <c r="AB22" s="56">
        <v>2</v>
      </c>
      <c r="AC22" s="57">
        <v>70</v>
      </c>
      <c r="AD22" s="57">
        <v>20</v>
      </c>
      <c r="AE22" s="58">
        <v>20</v>
      </c>
      <c r="AF22" s="59">
        <v>1.0620000000000001</v>
      </c>
      <c r="AG22" s="60">
        <v>1.0509999999999999</v>
      </c>
      <c r="AH22" s="57">
        <v>275</v>
      </c>
      <c r="AI22" s="58">
        <v>99</v>
      </c>
      <c r="AJ22" s="57">
        <v>33985</v>
      </c>
      <c r="AK22" s="49">
        <v>19</v>
      </c>
      <c r="AL22" s="60">
        <v>1.06</v>
      </c>
      <c r="AM22" s="49">
        <v>5.29</v>
      </c>
      <c r="AN22" s="61">
        <v>34</v>
      </c>
      <c r="AO22" s="51">
        <v>52</v>
      </c>
      <c r="AP22" s="62">
        <v>70</v>
      </c>
      <c r="AQ22" s="63">
        <v>1</v>
      </c>
      <c r="AR22" s="64">
        <v>3.51</v>
      </c>
      <c r="AS22" s="65">
        <v>8.3000000000000007</v>
      </c>
      <c r="AT22" s="65">
        <v>0.38</v>
      </c>
      <c r="AU22" s="66">
        <v>10</v>
      </c>
      <c r="AV22" s="67">
        <v>20.970380000000002</v>
      </c>
      <c r="AW22" s="65">
        <v>13099</v>
      </c>
      <c r="AX22" s="68">
        <v>25</v>
      </c>
      <c r="AY22" s="49">
        <v>210</v>
      </c>
      <c r="AZ22" s="49">
        <v>235</v>
      </c>
      <c r="BA22" s="69">
        <v>9.25</v>
      </c>
      <c r="BB22" s="69">
        <v>585.24537500000008</v>
      </c>
      <c r="BC22" s="49">
        <v>112.9</v>
      </c>
      <c r="BD22" s="43" t="s">
        <v>57</v>
      </c>
      <c r="BE22">
        <v>0</v>
      </c>
    </row>
    <row r="23" spans="1:57" x14ac:dyDescent="0.35">
      <c r="A23" s="44">
        <v>851</v>
      </c>
      <c r="B23" s="45">
        <v>74.039678999999992</v>
      </c>
      <c r="C23" s="46">
        <v>341.55250242664317</v>
      </c>
      <c r="D23" s="47">
        <v>18</v>
      </c>
      <c r="E23" s="47">
        <v>75</v>
      </c>
      <c r="F23" s="47">
        <v>7</v>
      </c>
      <c r="G23" s="46">
        <v>4.87</v>
      </c>
      <c r="H23" s="46">
        <v>69.78</v>
      </c>
      <c r="I23" s="74">
        <v>1</v>
      </c>
      <c r="J23" s="76">
        <v>7.38</v>
      </c>
      <c r="K23" s="76">
        <v>330</v>
      </c>
      <c r="L23" s="76">
        <v>225</v>
      </c>
      <c r="M23" s="76">
        <v>42</v>
      </c>
      <c r="N23" s="76">
        <v>150</v>
      </c>
      <c r="O23" s="48">
        <v>8000</v>
      </c>
      <c r="P23" s="62">
        <v>78.5</v>
      </c>
      <c r="Q23" s="62">
        <v>85.5</v>
      </c>
      <c r="R23" s="49">
        <v>300</v>
      </c>
      <c r="S23" s="62">
        <v>76.2</v>
      </c>
      <c r="T23" s="51">
        <v>0.33</v>
      </c>
      <c r="U23" s="49">
        <v>65.2</v>
      </c>
      <c r="V23" s="62">
        <v>0.39</v>
      </c>
      <c r="W23" s="49">
        <v>25</v>
      </c>
      <c r="X23" s="52">
        <v>140</v>
      </c>
      <c r="Y23" s="53">
        <v>240</v>
      </c>
      <c r="Z23" s="77">
        <v>1.0740000000000001</v>
      </c>
      <c r="AA23" s="55">
        <v>3500</v>
      </c>
      <c r="AB23" s="56">
        <v>2.2000000000000002</v>
      </c>
      <c r="AC23" s="57">
        <v>70</v>
      </c>
      <c r="AD23" s="57">
        <v>20</v>
      </c>
      <c r="AE23" s="58">
        <v>20</v>
      </c>
      <c r="AF23" s="59">
        <v>1.0609999999999999</v>
      </c>
      <c r="AG23" s="60">
        <v>1.05</v>
      </c>
      <c r="AH23" s="57">
        <v>270</v>
      </c>
      <c r="AI23" s="58">
        <v>99</v>
      </c>
      <c r="AJ23" s="57">
        <v>33988</v>
      </c>
      <c r="AK23" s="49">
        <v>19</v>
      </c>
      <c r="AL23" s="60">
        <v>1.0589999999999999</v>
      </c>
      <c r="AM23" s="49">
        <v>5.33</v>
      </c>
      <c r="AN23" s="61">
        <v>34</v>
      </c>
      <c r="AO23" s="51">
        <v>52</v>
      </c>
      <c r="AP23" s="62">
        <v>70</v>
      </c>
      <c r="AQ23" s="63">
        <v>1</v>
      </c>
      <c r="AR23" s="64">
        <v>3.42</v>
      </c>
      <c r="AS23" s="65">
        <v>8.3000000000000007</v>
      </c>
      <c r="AT23" s="65">
        <v>0.4</v>
      </c>
      <c r="AU23" s="66">
        <v>10</v>
      </c>
      <c r="AV23" s="67">
        <v>20.856100000000001</v>
      </c>
      <c r="AW23" s="65">
        <v>13140</v>
      </c>
      <c r="AX23" s="68">
        <v>25</v>
      </c>
      <c r="AY23" s="49">
        <v>210</v>
      </c>
      <c r="AZ23" s="49">
        <v>240</v>
      </c>
      <c r="BA23" s="69">
        <v>9.3000000000000007</v>
      </c>
      <c r="BB23" s="69">
        <v>584.68087500000001</v>
      </c>
      <c r="BC23" s="49">
        <v>112.9</v>
      </c>
      <c r="BD23" s="43" t="s">
        <v>57</v>
      </c>
      <c r="BE23">
        <v>0</v>
      </c>
    </row>
    <row r="24" spans="1:57" x14ac:dyDescent="0.35">
      <c r="A24" s="44">
        <v>852</v>
      </c>
      <c r="B24" s="45">
        <v>74.325155999999993</v>
      </c>
      <c r="C24" s="46">
        <v>342.86943660372481</v>
      </c>
      <c r="D24" s="47">
        <v>17</v>
      </c>
      <c r="E24" s="47">
        <v>75</v>
      </c>
      <c r="F24" s="47">
        <v>8</v>
      </c>
      <c r="G24" s="46">
        <v>4.54</v>
      </c>
      <c r="H24" s="46">
        <v>70.28</v>
      </c>
      <c r="I24" s="71"/>
      <c r="J24" s="78"/>
      <c r="K24" s="47"/>
      <c r="L24" s="47"/>
      <c r="M24" s="47"/>
      <c r="N24" s="47"/>
      <c r="O24" s="48">
        <v>8000</v>
      </c>
      <c r="P24" s="62">
        <v>78.599999999999994</v>
      </c>
      <c r="Q24" s="62">
        <v>85.6</v>
      </c>
      <c r="R24" s="49">
        <v>300</v>
      </c>
      <c r="S24" s="62">
        <v>77.099999999999994</v>
      </c>
      <c r="T24" s="51">
        <v>0.33</v>
      </c>
      <c r="U24" s="49">
        <v>65.400000000000006</v>
      </c>
      <c r="V24" s="62">
        <v>0.43</v>
      </c>
      <c r="W24" s="49">
        <v>25</v>
      </c>
      <c r="X24" s="52">
        <v>140</v>
      </c>
      <c r="Y24" s="53">
        <v>300</v>
      </c>
      <c r="Z24" s="77">
        <v>1.07</v>
      </c>
      <c r="AA24" s="55">
        <v>3500</v>
      </c>
      <c r="AB24" s="56">
        <v>2.1</v>
      </c>
      <c r="AC24" s="57">
        <v>70</v>
      </c>
      <c r="AD24" s="57">
        <v>20</v>
      </c>
      <c r="AE24" s="58">
        <v>20</v>
      </c>
      <c r="AF24" s="59">
        <v>1.0640000000000001</v>
      </c>
      <c r="AG24" s="60">
        <v>1.048</v>
      </c>
      <c r="AH24" s="57">
        <v>265</v>
      </c>
      <c r="AI24" s="58">
        <v>99</v>
      </c>
      <c r="AJ24" s="57">
        <v>33985</v>
      </c>
      <c r="AK24" s="49">
        <v>19</v>
      </c>
      <c r="AL24" s="60">
        <v>1.06</v>
      </c>
      <c r="AM24" s="49">
        <v>5.28</v>
      </c>
      <c r="AN24" s="61">
        <v>34</v>
      </c>
      <c r="AO24" s="51">
        <v>50</v>
      </c>
      <c r="AP24" s="62">
        <v>74</v>
      </c>
      <c r="AQ24" s="63">
        <v>1</v>
      </c>
      <c r="AR24" s="64">
        <v>3.44</v>
      </c>
      <c r="AS24" s="65">
        <v>8.3000000000000007</v>
      </c>
      <c r="AT24" s="65">
        <v>0.39</v>
      </c>
      <c r="AU24" s="66">
        <v>10.15</v>
      </c>
      <c r="AV24" s="67">
        <v>20.913240000000002</v>
      </c>
      <c r="AW24" s="65">
        <v>13117</v>
      </c>
      <c r="AX24" s="68">
        <v>25</v>
      </c>
      <c r="AY24" s="49">
        <v>210</v>
      </c>
      <c r="AZ24" s="49">
        <v>270</v>
      </c>
      <c r="BA24" s="69">
        <v>10</v>
      </c>
      <c r="BB24" s="69">
        <v>585.00900000000001</v>
      </c>
      <c r="BC24" s="49">
        <v>112.8</v>
      </c>
      <c r="BD24" s="43" t="s">
        <v>57</v>
      </c>
      <c r="BE24">
        <v>0</v>
      </c>
    </row>
    <row r="25" spans="1:57" x14ac:dyDescent="0.35">
      <c r="A25" s="44">
        <v>853</v>
      </c>
      <c r="B25" s="45">
        <v>74.329634000000013</v>
      </c>
      <c r="C25" s="46">
        <v>342.89009406910731</v>
      </c>
      <c r="D25" s="47">
        <v>18</v>
      </c>
      <c r="E25" s="47">
        <v>76</v>
      </c>
      <c r="F25" s="47">
        <v>6</v>
      </c>
      <c r="G25" s="46">
        <v>4.62</v>
      </c>
      <c r="H25" s="46">
        <v>69.98</v>
      </c>
      <c r="I25" s="74"/>
      <c r="J25" s="78"/>
      <c r="K25" s="78"/>
      <c r="L25" s="78"/>
      <c r="M25" s="78"/>
      <c r="N25" s="78"/>
      <c r="O25" s="48">
        <v>8000</v>
      </c>
      <c r="P25" s="62">
        <v>78.5</v>
      </c>
      <c r="Q25" s="62">
        <v>85.2</v>
      </c>
      <c r="R25" s="49">
        <v>295</v>
      </c>
      <c r="S25" s="62">
        <v>770</v>
      </c>
      <c r="T25" s="51">
        <v>0.33</v>
      </c>
      <c r="U25" s="49">
        <v>65</v>
      </c>
      <c r="V25" s="62">
        <v>0.39</v>
      </c>
      <c r="W25" s="49">
        <v>25</v>
      </c>
      <c r="X25" s="52">
        <v>140</v>
      </c>
      <c r="Y25" s="53">
        <v>302</v>
      </c>
      <c r="Z25" s="77">
        <v>1.0720000000000001</v>
      </c>
      <c r="AA25" s="55">
        <v>3500</v>
      </c>
      <c r="AB25" s="56">
        <v>2</v>
      </c>
      <c r="AC25" s="57">
        <v>70</v>
      </c>
      <c r="AD25" s="57">
        <v>20</v>
      </c>
      <c r="AE25" s="58">
        <v>20</v>
      </c>
      <c r="AF25" s="59">
        <v>1.0649999999999999</v>
      </c>
      <c r="AG25" s="60">
        <v>1.052</v>
      </c>
      <c r="AH25" s="57">
        <v>260</v>
      </c>
      <c r="AI25" s="58">
        <v>99</v>
      </c>
      <c r="AJ25" s="57">
        <v>33988</v>
      </c>
      <c r="AK25" s="49">
        <v>18</v>
      </c>
      <c r="AL25" s="60">
        <v>1.06</v>
      </c>
      <c r="AM25" s="49">
        <v>5.25</v>
      </c>
      <c r="AN25" s="61">
        <v>33</v>
      </c>
      <c r="AO25" s="51">
        <v>50</v>
      </c>
      <c r="AP25" s="62">
        <v>72</v>
      </c>
      <c r="AQ25" s="63">
        <v>1</v>
      </c>
      <c r="AR25" s="64">
        <v>3.48</v>
      </c>
      <c r="AS25" s="65">
        <v>8.3000000000000007</v>
      </c>
      <c r="AT25" s="65">
        <v>0.44</v>
      </c>
      <c r="AU25" s="66">
        <v>10.5</v>
      </c>
      <c r="AV25" s="67">
        <v>20.856100000000001</v>
      </c>
      <c r="AW25" s="65">
        <v>13136</v>
      </c>
      <c r="AX25" s="68">
        <v>25</v>
      </c>
      <c r="AY25" s="49">
        <v>210</v>
      </c>
      <c r="AZ25" s="49">
        <v>235</v>
      </c>
      <c r="BA25" s="69">
        <v>9.25</v>
      </c>
      <c r="BB25" s="69">
        <v>586.60349999999994</v>
      </c>
      <c r="BC25" s="49">
        <v>112.7</v>
      </c>
      <c r="BD25" s="43" t="s">
        <v>57</v>
      </c>
      <c r="BE25">
        <v>0</v>
      </c>
    </row>
    <row r="26" spans="1:57" x14ac:dyDescent="0.35">
      <c r="A26" s="44">
        <v>854</v>
      </c>
      <c r="B26" s="45">
        <v>74.091184000000013</v>
      </c>
      <c r="C26" s="46">
        <v>341.79010018334731</v>
      </c>
      <c r="D26" s="47">
        <v>17</v>
      </c>
      <c r="E26" s="47">
        <v>76</v>
      </c>
      <c r="F26" s="47">
        <v>7</v>
      </c>
      <c r="G26" s="46">
        <v>4.62</v>
      </c>
      <c r="H26" s="46">
        <v>70.28</v>
      </c>
      <c r="I26" s="71"/>
      <c r="J26" s="78"/>
      <c r="K26" s="47"/>
      <c r="L26" s="47"/>
      <c r="M26" s="47"/>
      <c r="N26" s="47"/>
      <c r="O26" s="48">
        <v>8000</v>
      </c>
      <c r="P26" s="62">
        <v>78.5</v>
      </c>
      <c r="Q26" s="62">
        <v>85.4</v>
      </c>
      <c r="R26" s="49">
        <v>290</v>
      </c>
      <c r="S26" s="62">
        <v>76</v>
      </c>
      <c r="T26" s="51">
        <v>0.33</v>
      </c>
      <c r="U26" s="49">
        <v>65.099999999999994</v>
      </c>
      <c r="V26" s="49">
        <v>0.38</v>
      </c>
      <c r="W26" s="49">
        <v>25</v>
      </c>
      <c r="X26" s="52">
        <v>140</v>
      </c>
      <c r="Y26" s="53">
        <v>307</v>
      </c>
      <c r="Z26" s="54">
        <v>1.075</v>
      </c>
      <c r="AA26" s="55">
        <v>3500</v>
      </c>
      <c r="AB26" s="56">
        <v>2.2000000000000002</v>
      </c>
      <c r="AC26" s="57">
        <v>70</v>
      </c>
      <c r="AD26" s="57">
        <v>20</v>
      </c>
      <c r="AE26" s="58">
        <v>20</v>
      </c>
      <c r="AF26" s="59">
        <v>1.0640000000000001</v>
      </c>
      <c r="AG26" s="60">
        <v>1.0529999999999999</v>
      </c>
      <c r="AH26" s="57">
        <v>265</v>
      </c>
      <c r="AI26" s="58">
        <v>99</v>
      </c>
      <c r="AJ26" s="57">
        <v>33988</v>
      </c>
      <c r="AK26" s="49">
        <v>19</v>
      </c>
      <c r="AL26" s="60">
        <v>1.06</v>
      </c>
      <c r="AM26" s="49">
        <v>5.31</v>
      </c>
      <c r="AN26" s="61">
        <v>34</v>
      </c>
      <c r="AO26" s="51">
        <v>54</v>
      </c>
      <c r="AP26" s="62">
        <v>70</v>
      </c>
      <c r="AQ26" s="63">
        <v>1</v>
      </c>
      <c r="AR26" s="64">
        <v>3.44</v>
      </c>
      <c r="AS26" s="65">
        <v>8.3000000000000007</v>
      </c>
      <c r="AT26" s="65">
        <v>0.4</v>
      </c>
      <c r="AU26" s="66">
        <v>10</v>
      </c>
      <c r="AV26" s="67">
        <v>20.913240000000002</v>
      </c>
      <c r="AW26" s="65">
        <v>13142</v>
      </c>
      <c r="AX26" s="68">
        <v>25</v>
      </c>
      <c r="AY26" s="49">
        <v>210</v>
      </c>
      <c r="AZ26" s="49">
        <v>240</v>
      </c>
      <c r="BA26" s="69">
        <v>9.3000000000000007</v>
      </c>
      <c r="BB26" s="69">
        <v>585.00974999999994</v>
      </c>
      <c r="BC26" s="49">
        <v>113.1</v>
      </c>
      <c r="BD26" s="43" t="s">
        <v>57</v>
      </c>
      <c r="BE26">
        <v>0</v>
      </c>
    </row>
    <row r="27" spans="1:57" x14ac:dyDescent="0.35">
      <c r="A27" s="44">
        <v>855</v>
      </c>
      <c r="B27" s="45">
        <v>74.255082000000002</v>
      </c>
      <c r="C27" s="46">
        <v>342.54617817826568</v>
      </c>
      <c r="D27" s="47">
        <v>18</v>
      </c>
      <c r="E27" s="47">
        <v>76</v>
      </c>
      <c r="F27" s="47">
        <v>6</v>
      </c>
      <c r="G27" s="46">
        <v>4.63</v>
      </c>
      <c r="H27" s="46">
        <v>71.22</v>
      </c>
      <c r="I27" s="71"/>
      <c r="J27" s="78"/>
      <c r="K27" s="78"/>
      <c r="L27" s="78"/>
      <c r="M27" s="78"/>
      <c r="N27" s="78"/>
      <c r="O27" s="48">
        <v>8000</v>
      </c>
      <c r="P27" s="62">
        <v>78.599999999999994</v>
      </c>
      <c r="Q27" s="62">
        <v>85.6</v>
      </c>
      <c r="R27" s="51">
        <v>290</v>
      </c>
      <c r="S27" s="51">
        <v>76.599999999999994</v>
      </c>
      <c r="T27" s="51">
        <v>0.33</v>
      </c>
      <c r="U27" s="49">
        <v>65.8</v>
      </c>
      <c r="V27" s="51">
        <v>0.4</v>
      </c>
      <c r="W27" s="49">
        <v>25</v>
      </c>
      <c r="X27" s="52">
        <v>140</v>
      </c>
      <c r="Y27" s="53">
        <v>295</v>
      </c>
      <c r="Z27" s="65">
        <v>1.07</v>
      </c>
      <c r="AA27" s="55">
        <v>3500</v>
      </c>
      <c r="AB27" s="56">
        <v>2</v>
      </c>
      <c r="AC27" s="57">
        <v>70</v>
      </c>
      <c r="AD27" s="57">
        <v>20</v>
      </c>
      <c r="AE27" s="58">
        <v>20</v>
      </c>
      <c r="AF27" s="59">
        <v>1.0609999999999999</v>
      </c>
      <c r="AG27" s="60">
        <v>1.05</v>
      </c>
      <c r="AH27" s="57">
        <v>260</v>
      </c>
      <c r="AI27" s="58">
        <v>99</v>
      </c>
      <c r="AJ27" s="57">
        <v>33985</v>
      </c>
      <c r="AK27" s="49">
        <v>19</v>
      </c>
      <c r="AL27" s="60">
        <v>1.06</v>
      </c>
      <c r="AM27" s="49">
        <v>5.33</v>
      </c>
      <c r="AN27" s="61">
        <v>34</v>
      </c>
      <c r="AO27" s="51">
        <v>50</v>
      </c>
      <c r="AP27" s="62">
        <v>70</v>
      </c>
      <c r="AQ27" s="63">
        <v>1</v>
      </c>
      <c r="AR27" s="64">
        <v>3.48</v>
      </c>
      <c r="AS27" s="65">
        <v>8.1999999999999993</v>
      </c>
      <c r="AT27" s="65">
        <v>0.38</v>
      </c>
      <c r="AU27" s="66">
        <v>10.15</v>
      </c>
      <c r="AV27" s="67">
        <v>20.62754</v>
      </c>
      <c r="AW27" s="65">
        <v>13163</v>
      </c>
      <c r="AX27" s="68">
        <v>25</v>
      </c>
      <c r="AY27" s="49">
        <v>210</v>
      </c>
      <c r="AZ27" s="49">
        <v>240</v>
      </c>
      <c r="BA27" s="69">
        <v>9.3000000000000007</v>
      </c>
      <c r="BB27" s="69">
        <v>585.0575</v>
      </c>
      <c r="BC27" s="49">
        <v>113</v>
      </c>
      <c r="BD27" s="43" t="s">
        <v>57</v>
      </c>
      <c r="BE27">
        <v>0</v>
      </c>
    </row>
    <row r="28" spans="1:57" x14ac:dyDescent="0.35">
      <c r="A28" s="44">
        <v>856</v>
      </c>
      <c r="B28" s="45">
        <v>74.589823999999993</v>
      </c>
      <c r="C28" s="46">
        <v>344.09037676625923</v>
      </c>
      <c r="D28" s="47">
        <v>18</v>
      </c>
      <c r="E28" s="47">
        <v>76</v>
      </c>
      <c r="F28" s="47">
        <v>6</v>
      </c>
      <c r="G28" s="46">
        <v>4.47</v>
      </c>
      <c r="H28" s="46">
        <v>69.2</v>
      </c>
      <c r="I28" s="71"/>
      <c r="J28" s="78"/>
      <c r="K28" s="47"/>
      <c r="L28" s="47"/>
      <c r="M28" s="47"/>
      <c r="N28" s="47"/>
      <c r="O28" s="48">
        <v>8000</v>
      </c>
      <c r="P28" s="49">
        <v>78.5</v>
      </c>
      <c r="Q28" s="49">
        <v>85.2</v>
      </c>
      <c r="R28" s="51">
        <v>280</v>
      </c>
      <c r="S28" s="51">
        <v>77</v>
      </c>
      <c r="T28" s="51">
        <v>0.33</v>
      </c>
      <c r="U28" s="49">
        <v>65.3</v>
      </c>
      <c r="V28" s="51">
        <v>0.39</v>
      </c>
      <c r="W28" s="49">
        <v>25</v>
      </c>
      <c r="X28" s="52">
        <v>140</v>
      </c>
      <c r="Y28" s="53">
        <v>307</v>
      </c>
      <c r="Z28" s="65">
        <v>1.0720000000000001</v>
      </c>
      <c r="AA28" s="55">
        <v>3500</v>
      </c>
      <c r="AB28" s="56">
        <v>2.1</v>
      </c>
      <c r="AC28" s="57">
        <v>70</v>
      </c>
      <c r="AD28" s="57">
        <v>20</v>
      </c>
      <c r="AE28" s="58">
        <v>20</v>
      </c>
      <c r="AF28" s="59">
        <v>1.0649999999999999</v>
      </c>
      <c r="AG28" s="60">
        <v>1.052</v>
      </c>
      <c r="AH28" s="57">
        <v>270</v>
      </c>
      <c r="AI28" s="58">
        <v>99</v>
      </c>
      <c r="AJ28" s="57">
        <v>33988</v>
      </c>
      <c r="AK28" s="49">
        <v>19</v>
      </c>
      <c r="AL28" s="60">
        <v>1.06</v>
      </c>
      <c r="AM28" s="49">
        <v>5.25</v>
      </c>
      <c r="AN28" s="61">
        <v>34</v>
      </c>
      <c r="AO28" s="51">
        <v>52</v>
      </c>
      <c r="AP28" s="62">
        <v>68</v>
      </c>
      <c r="AQ28" s="63">
        <v>1</v>
      </c>
      <c r="AR28" s="64">
        <v>3.52</v>
      </c>
      <c r="AS28" s="65">
        <v>8.3000000000000007</v>
      </c>
      <c r="AT28" s="65">
        <v>0.47</v>
      </c>
      <c r="AU28" s="66">
        <v>10</v>
      </c>
      <c r="AV28" s="67">
        <v>20.856100000000001</v>
      </c>
      <c r="AW28" s="65">
        <v>13158</v>
      </c>
      <c r="AX28" s="68">
        <v>25</v>
      </c>
      <c r="AY28" s="49">
        <v>210</v>
      </c>
      <c r="AZ28" s="49">
        <v>235</v>
      </c>
      <c r="BA28" s="69">
        <v>9.25</v>
      </c>
      <c r="BB28" s="69">
        <v>585.24537500000008</v>
      </c>
      <c r="BC28" s="49">
        <v>112.9</v>
      </c>
      <c r="BD28" s="43" t="s">
        <v>57</v>
      </c>
      <c r="BE28">
        <v>0</v>
      </c>
    </row>
    <row r="29" spans="1:57" x14ac:dyDescent="0.35">
      <c r="A29" s="44">
        <v>857</v>
      </c>
      <c r="B29" s="45">
        <v>74.24904500000001</v>
      </c>
      <c r="C29" s="46">
        <v>342.51832888873605</v>
      </c>
      <c r="D29" s="47">
        <v>17</v>
      </c>
      <c r="E29" s="47">
        <v>76</v>
      </c>
      <c r="F29" s="47">
        <v>7</v>
      </c>
      <c r="G29" s="46">
        <v>4.6500000000000004</v>
      </c>
      <c r="H29" s="46">
        <v>69.989999999999995</v>
      </c>
      <c r="I29" s="71"/>
      <c r="J29" s="78"/>
      <c r="K29" s="47"/>
      <c r="L29" s="47"/>
      <c r="M29" s="47"/>
      <c r="N29" s="47"/>
      <c r="O29" s="48">
        <v>8000</v>
      </c>
      <c r="P29" s="49">
        <v>78.400000000000006</v>
      </c>
      <c r="Q29" s="49">
        <v>85.4</v>
      </c>
      <c r="R29" s="51">
        <v>295</v>
      </c>
      <c r="S29" s="51">
        <v>76.2</v>
      </c>
      <c r="T29" s="51">
        <v>0.33</v>
      </c>
      <c r="U29" s="49">
        <v>65.099999999999994</v>
      </c>
      <c r="V29" s="51">
        <v>0.41</v>
      </c>
      <c r="W29" s="49">
        <v>25</v>
      </c>
      <c r="X29" s="52">
        <v>140</v>
      </c>
      <c r="Y29" s="53">
        <v>260</v>
      </c>
      <c r="Z29" s="65">
        <v>1.071</v>
      </c>
      <c r="AA29" s="55">
        <v>3500</v>
      </c>
      <c r="AB29" s="56">
        <v>2</v>
      </c>
      <c r="AC29" s="57">
        <v>70</v>
      </c>
      <c r="AD29" s="57">
        <v>20</v>
      </c>
      <c r="AE29" s="58">
        <v>20</v>
      </c>
      <c r="AF29" s="59">
        <v>1.0649999999999999</v>
      </c>
      <c r="AG29" s="60">
        <v>1.0529999999999999</v>
      </c>
      <c r="AH29" s="57">
        <v>265</v>
      </c>
      <c r="AI29" s="58">
        <v>99</v>
      </c>
      <c r="AJ29" s="57">
        <v>33985</v>
      </c>
      <c r="AK29" s="49">
        <v>19</v>
      </c>
      <c r="AL29" s="60">
        <v>1.0589999999999999</v>
      </c>
      <c r="AM29" s="49">
        <v>5.25</v>
      </c>
      <c r="AN29" s="61">
        <v>34</v>
      </c>
      <c r="AO29" s="51">
        <v>52</v>
      </c>
      <c r="AP29" s="51">
        <v>70</v>
      </c>
      <c r="AQ29" s="63">
        <v>1</v>
      </c>
      <c r="AR29" s="64">
        <v>3.49</v>
      </c>
      <c r="AS29" s="65">
        <v>8.3000000000000007</v>
      </c>
      <c r="AT29" s="65">
        <v>0.43</v>
      </c>
      <c r="AU29" s="66">
        <v>10.25</v>
      </c>
      <c r="AV29" s="67">
        <v>20.970380000000002</v>
      </c>
      <c r="AW29" s="65">
        <v>13141</v>
      </c>
      <c r="AX29" s="68">
        <v>25</v>
      </c>
      <c r="AY29" s="49">
        <v>210</v>
      </c>
      <c r="AZ29" s="49">
        <v>270</v>
      </c>
      <c r="BA29" s="69">
        <v>10</v>
      </c>
      <c r="BB29" s="69">
        <v>584.8683749999999</v>
      </c>
      <c r="BC29" s="49">
        <v>113.1</v>
      </c>
      <c r="BD29" s="43" t="s">
        <v>57</v>
      </c>
      <c r="BE29">
        <v>0</v>
      </c>
    </row>
    <row r="30" spans="1:57" x14ac:dyDescent="0.35">
      <c r="A30" s="44">
        <v>858</v>
      </c>
      <c r="B30" s="45">
        <v>74.21265600000001</v>
      </c>
      <c r="C30" s="46">
        <v>342.35046276372486</v>
      </c>
      <c r="D30" s="47">
        <v>18</v>
      </c>
      <c r="E30" s="47">
        <v>76</v>
      </c>
      <c r="F30" s="47">
        <v>6</v>
      </c>
      <c r="G30" s="76">
        <v>4.66</v>
      </c>
      <c r="H30" s="46">
        <v>70.099999999999994</v>
      </c>
      <c r="I30" s="74"/>
      <c r="J30" s="78"/>
      <c r="K30" s="47"/>
      <c r="L30" s="47"/>
      <c r="M30" s="47"/>
      <c r="N30" s="47"/>
      <c r="O30" s="48">
        <v>8000</v>
      </c>
      <c r="P30" s="49">
        <v>78.5</v>
      </c>
      <c r="Q30" s="49">
        <v>85.4</v>
      </c>
      <c r="R30" s="51">
        <v>285</v>
      </c>
      <c r="S30" s="51">
        <v>77</v>
      </c>
      <c r="T30" s="51">
        <v>0.33</v>
      </c>
      <c r="U30" s="49">
        <v>65</v>
      </c>
      <c r="V30" s="51">
        <v>0.38</v>
      </c>
      <c r="W30" s="49">
        <v>25</v>
      </c>
      <c r="X30" s="52">
        <v>140</v>
      </c>
      <c r="Y30" s="53">
        <v>265</v>
      </c>
      <c r="Z30" s="65">
        <v>1.07</v>
      </c>
      <c r="AA30" s="55">
        <v>3500</v>
      </c>
      <c r="AB30" s="56">
        <v>2</v>
      </c>
      <c r="AC30" s="57">
        <v>70</v>
      </c>
      <c r="AD30" s="57">
        <v>20</v>
      </c>
      <c r="AE30" s="58">
        <v>20</v>
      </c>
      <c r="AF30" s="59">
        <v>1.0649999999999999</v>
      </c>
      <c r="AG30" s="60">
        <v>1.054</v>
      </c>
      <c r="AH30" s="57">
        <v>255</v>
      </c>
      <c r="AI30" s="58">
        <v>99</v>
      </c>
      <c r="AJ30" s="57">
        <v>33987</v>
      </c>
      <c r="AK30" s="49">
        <v>18</v>
      </c>
      <c r="AL30" s="60">
        <v>1.06</v>
      </c>
      <c r="AM30" s="49">
        <v>5.25</v>
      </c>
      <c r="AN30" s="61">
        <v>33</v>
      </c>
      <c r="AO30" s="51">
        <v>50</v>
      </c>
      <c r="AP30" s="51">
        <v>70</v>
      </c>
      <c r="AQ30" s="63">
        <v>1</v>
      </c>
      <c r="AR30" s="64">
        <v>3.45</v>
      </c>
      <c r="AS30" s="65">
        <v>8.3000000000000007</v>
      </c>
      <c r="AT30" s="65">
        <v>0.45</v>
      </c>
      <c r="AU30" s="66">
        <v>10</v>
      </c>
      <c r="AV30" s="67">
        <v>20.856100000000001</v>
      </c>
      <c r="AW30" s="65">
        <v>13163</v>
      </c>
      <c r="AX30" s="68">
        <v>25</v>
      </c>
      <c r="AY30" s="49">
        <v>210</v>
      </c>
      <c r="AZ30" s="49">
        <v>240</v>
      </c>
      <c r="BA30" s="69">
        <v>9.3000000000000007</v>
      </c>
      <c r="BB30" s="69">
        <v>585.0575</v>
      </c>
      <c r="BC30" s="49">
        <v>113</v>
      </c>
      <c r="BD30" s="43" t="s">
        <v>57</v>
      </c>
      <c r="BE30">
        <v>0</v>
      </c>
    </row>
    <row r="31" spans="1:57" x14ac:dyDescent="0.35">
      <c r="A31" s="44">
        <v>859</v>
      </c>
      <c r="B31" s="45">
        <v>74.070810999999992</v>
      </c>
      <c r="C31" s="46">
        <v>341.6961174807488</v>
      </c>
      <c r="D31" s="47">
        <v>17</v>
      </c>
      <c r="E31" s="47">
        <v>75</v>
      </c>
      <c r="F31" s="47">
        <v>8</v>
      </c>
      <c r="G31" s="76">
        <v>4.83</v>
      </c>
      <c r="H31" s="46">
        <v>69.900000000000006</v>
      </c>
      <c r="I31" s="71"/>
      <c r="J31" s="46"/>
      <c r="K31" s="47"/>
      <c r="L31" s="47"/>
      <c r="M31" s="47"/>
      <c r="N31" s="47"/>
      <c r="O31" s="48">
        <v>8000</v>
      </c>
      <c r="P31" s="49">
        <v>78.400000000000006</v>
      </c>
      <c r="Q31" s="49">
        <v>85.4</v>
      </c>
      <c r="R31" s="51">
        <v>300</v>
      </c>
      <c r="S31" s="51">
        <v>76.900000000000006</v>
      </c>
      <c r="T31" s="51">
        <v>0.33</v>
      </c>
      <c r="U31" s="49">
        <v>65</v>
      </c>
      <c r="V31" s="51">
        <v>0.41</v>
      </c>
      <c r="W31" s="49">
        <v>25</v>
      </c>
      <c r="X31" s="52">
        <v>140</v>
      </c>
      <c r="Y31" s="53">
        <v>250</v>
      </c>
      <c r="Z31" s="65">
        <v>1.069</v>
      </c>
      <c r="AA31" s="55">
        <v>3500</v>
      </c>
      <c r="AB31" s="56">
        <v>2.2000000000000002</v>
      </c>
      <c r="AC31" s="57">
        <v>70</v>
      </c>
      <c r="AD31" s="57">
        <v>20</v>
      </c>
      <c r="AE31" s="58">
        <v>20</v>
      </c>
      <c r="AF31" s="59">
        <v>1.06</v>
      </c>
      <c r="AG31" s="60">
        <v>1.052</v>
      </c>
      <c r="AH31" s="57">
        <v>270</v>
      </c>
      <c r="AI31" s="58">
        <v>99</v>
      </c>
      <c r="AJ31" s="57">
        <v>33974</v>
      </c>
      <c r="AK31" s="49">
        <v>19</v>
      </c>
      <c r="AL31" s="60">
        <v>1.06</v>
      </c>
      <c r="AM31" s="49">
        <v>5.33</v>
      </c>
      <c r="AN31" s="61">
        <v>34</v>
      </c>
      <c r="AO31" s="51">
        <v>50</v>
      </c>
      <c r="AP31" s="51">
        <v>72</v>
      </c>
      <c r="AQ31" s="63">
        <v>1</v>
      </c>
      <c r="AR31" s="64">
        <v>3.42</v>
      </c>
      <c r="AS31" s="65">
        <v>8.3000000000000007</v>
      </c>
      <c r="AT31" s="65">
        <v>0.41</v>
      </c>
      <c r="AU31" s="66">
        <v>10</v>
      </c>
      <c r="AV31" s="67">
        <v>20.913240000000002</v>
      </c>
      <c r="AW31" s="65">
        <v>13139</v>
      </c>
      <c r="AX31" s="68">
        <v>25</v>
      </c>
      <c r="AY31" s="49">
        <v>210</v>
      </c>
      <c r="AZ31" s="49">
        <v>240</v>
      </c>
      <c r="BA31" s="69">
        <v>9.3000000000000007</v>
      </c>
      <c r="BB31" s="69">
        <v>585.34</v>
      </c>
      <c r="BC31" s="49">
        <v>113</v>
      </c>
      <c r="BD31" s="43" t="s">
        <v>57</v>
      </c>
      <c r="BE31">
        <v>0</v>
      </c>
    </row>
    <row r="32" spans="1:57" x14ac:dyDescent="0.35">
      <c r="A32" s="44">
        <v>860</v>
      </c>
      <c r="B32" s="45">
        <v>74.146078000000003</v>
      </c>
      <c r="C32" s="46">
        <v>342.04333173866246</v>
      </c>
      <c r="D32" s="47">
        <v>18</v>
      </c>
      <c r="E32" s="47">
        <v>76</v>
      </c>
      <c r="F32" s="47">
        <v>6</v>
      </c>
      <c r="G32" s="76">
        <v>4.7699999999999996</v>
      </c>
      <c r="H32" s="46">
        <v>71.11</v>
      </c>
      <c r="I32" s="71"/>
      <c r="J32" s="46"/>
      <c r="K32" s="47"/>
      <c r="L32" s="47"/>
      <c r="M32" s="47"/>
      <c r="N32" s="47"/>
      <c r="O32" s="48">
        <v>8000</v>
      </c>
      <c r="P32" s="49">
        <v>78.599999999999994</v>
      </c>
      <c r="Q32" s="49">
        <v>85.6</v>
      </c>
      <c r="R32" s="51">
        <v>300</v>
      </c>
      <c r="S32" s="51">
        <v>77.2</v>
      </c>
      <c r="T32" s="51">
        <v>0.33</v>
      </c>
      <c r="U32" s="49">
        <v>65.3</v>
      </c>
      <c r="V32" s="51">
        <v>0.42</v>
      </c>
      <c r="W32" s="49">
        <v>25</v>
      </c>
      <c r="X32" s="52">
        <v>140</v>
      </c>
      <c r="Y32" s="53">
        <v>245</v>
      </c>
      <c r="Z32" s="65">
        <v>1.073</v>
      </c>
      <c r="AA32" s="55">
        <v>3500</v>
      </c>
      <c r="AB32" s="56">
        <v>2</v>
      </c>
      <c r="AC32" s="57">
        <v>70</v>
      </c>
      <c r="AD32" s="57">
        <v>20</v>
      </c>
      <c r="AE32" s="58">
        <v>20</v>
      </c>
      <c r="AF32" s="59">
        <v>1.0649999999999999</v>
      </c>
      <c r="AG32" s="60">
        <v>1.0449999999999999</v>
      </c>
      <c r="AH32" s="57">
        <v>265</v>
      </c>
      <c r="AI32" s="58">
        <v>99</v>
      </c>
      <c r="AJ32" s="57">
        <v>33985</v>
      </c>
      <c r="AK32" s="49">
        <v>19</v>
      </c>
      <c r="AL32" s="60">
        <v>1.06</v>
      </c>
      <c r="AM32" s="49">
        <v>5.29</v>
      </c>
      <c r="AN32" s="61">
        <v>34</v>
      </c>
      <c r="AO32" s="51">
        <v>52</v>
      </c>
      <c r="AP32" s="51">
        <v>72</v>
      </c>
      <c r="AQ32" s="63">
        <v>1</v>
      </c>
      <c r="AR32" s="64">
        <v>3.47</v>
      </c>
      <c r="AS32" s="65">
        <v>8.3000000000000007</v>
      </c>
      <c r="AT32" s="65">
        <v>0.47</v>
      </c>
      <c r="AU32" s="66">
        <v>10.15</v>
      </c>
      <c r="AV32" s="67">
        <v>20.913240000000002</v>
      </c>
      <c r="AW32" s="65">
        <v>13157</v>
      </c>
      <c r="AX32" s="68">
        <v>25</v>
      </c>
      <c r="AY32" s="49">
        <v>210</v>
      </c>
      <c r="AZ32" s="49">
        <v>240</v>
      </c>
      <c r="BA32" s="69">
        <v>9.3000000000000007</v>
      </c>
      <c r="BB32" s="69">
        <v>585.66875000000005</v>
      </c>
      <c r="BC32" s="49">
        <v>112.9</v>
      </c>
      <c r="BD32" s="70" t="s">
        <v>58</v>
      </c>
      <c r="BE32">
        <v>1</v>
      </c>
    </row>
    <row r="33" spans="1:57" x14ac:dyDescent="0.35">
      <c r="A33" s="44">
        <v>861</v>
      </c>
      <c r="B33" s="45">
        <v>74.325155999999993</v>
      </c>
      <c r="C33" s="46">
        <v>342.86943660372481</v>
      </c>
      <c r="D33" s="47">
        <v>18</v>
      </c>
      <c r="E33" s="47">
        <v>75</v>
      </c>
      <c r="F33" s="47">
        <v>7</v>
      </c>
      <c r="G33" s="76">
        <v>4.54</v>
      </c>
      <c r="H33" s="46">
        <v>68.27</v>
      </c>
      <c r="I33" s="71"/>
      <c r="J33" s="46"/>
      <c r="K33" s="47"/>
      <c r="L33" s="47"/>
      <c r="M33" s="47"/>
      <c r="N33" s="47"/>
      <c r="O33" s="48">
        <v>8000</v>
      </c>
      <c r="P33" s="49">
        <v>78.400000000000006</v>
      </c>
      <c r="Q33" s="49">
        <v>85.4</v>
      </c>
      <c r="R33" s="51">
        <v>280</v>
      </c>
      <c r="S33" s="51">
        <v>76.2</v>
      </c>
      <c r="T33" s="51">
        <v>0.33</v>
      </c>
      <c r="U33" s="49">
        <v>65</v>
      </c>
      <c r="V33" s="51">
        <v>0.4</v>
      </c>
      <c r="W33" s="49">
        <v>25</v>
      </c>
      <c r="X33" s="52">
        <v>140</v>
      </c>
      <c r="Y33" s="53">
        <v>235</v>
      </c>
      <c r="Z33" s="65">
        <v>1.075</v>
      </c>
      <c r="AA33" s="55">
        <v>3500</v>
      </c>
      <c r="AB33" s="56">
        <v>2.1</v>
      </c>
      <c r="AC33" s="57">
        <v>70</v>
      </c>
      <c r="AD33" s="57">
        <v>20</v>
      </c>
      <c r="AE33" s="58">
        <v>20</v>
      </c>
      <c r="AF33" s="59">
        <v>1.0649999999999999</v>
      </c>
      <c r="AG33" s="60">
        <v>1.0529999999999999</v>
      </c>
      <c r="AH33" s="57">
        <v>260</v>
      </c>
      <c r="AI33" s="58">
        <v>99</v>
      </c>
      <c r="AJ33" s="57">
        <v>33985</v>
      </c>
      <c r="AK33" s="49">
        <v>19</v>
      </c>
      <c r="AL33" s="60">
        <v>1.06</v>
      </c>
      <c r="AM33" s="49">
        <v>5.25</v>
      </c>
      <c r="AN33" s="61">
        <v>34</v>
      </c>
      <c r="AO33" s="51">
        <v>52</v>
      </c>
      <c r="AP33" s="51">
        <v>72</v>
      </c>
      <c r="AQ33" s="63">
        <v>1</v>
      </c>
      <c r="AR33" s="64">
        <v>3.52</v>
      </c>
      <c r="AS33" s="65">
        <v>8.3000000000000007</v>
      </c>
      <c r="AT33" s="65">
        <v>0.48</v>
      </c>
      <c r="AU33" s="66">
        <v>11.1</v>
      </c>
      <c r="AV33" s="67">
        <v>20.856100000000001</v>
      </c>
      <c r="AW33" s="65">
        <v>13142</v>
      </c>
      <c r="AX33" s="68">
        <v>25</v>
      </c>
      <c r="AY33" s="49">
        <v>210</v>
      </c>
      <c r="AZ33" s="49">
        <v>270</v>
      </c>
      <c r="BA33" s="69">
        <v>10</v>
      </c>
      <c r="BB33" s="69">
        <v>585.33562500000005</v>
      </c>
      <c r="BC33" s="49">
        <v>112.7</v>
      </c>
      <c r="BD33" s="43" t="s">
        <v>57</v>
      </c>
      <c r="BE33">
        <v>0</v>
      </c>
    </row>
    <row r="34" spans="1:57" x14ac:dyDescent="0.35">
      <c r="A34" s="44">
        <v>862</v>
      </c>
      <c r="B34" s="45">
        <v>73.994447999999991</v>
      </c>
      <c r="C34" s="46">
        <v>341.34384726435843</v>
      </c>
      <c r="D34" s="47">
        <v>17</v>
      </c>
      <c r="E34" s="47">
        <v>76</v>
      </c>
      <c r="F34" s="47">
        <v>7</v>
      </c>
      <c r="G34" s="76">
        <v>4.72</v>
      </c>
      <c r="H34" s="46">
        <v>70</v>
      </c>
      <c r="I34" s="71"/>
      <c r="J34" s="46"/>
      <c r="K34" s="47"/>
      <c r="L34" s="47"/>
      <c r="M34" s="47"/>
      <c r="N34" s="47"/>
      <c r="O34" s="48">
        <v>8000</v>
      </c>
      <c r="P34" s="49">
        <v>78.5</v>
      </c>
      <c r="Q34" s="49">
        <v>85.4</v>
      </c>
      <c r="R34" s="51">
        <v>290</v>
      </c>
      <c r="S34" s="51">
        <v>76</v>
      </c>
      <c r="T34" s="51">
        <v>0.33</v>
      </c>
      <c r="U34" s="49">
        <v>65.5</v>
      </c>
      <c r="V34" s="51">
        <v>0.41</v>
      </c>
      <c r="W34" s="49">
        <v>25</v>
      </c>
      <c r="X34" s="52">
        <v>140</v>
      </c>
      <c r="Y34" s="53">
        <v>260</v>
      </c>
      <c r="Z34" s="65">
        <v>1.0740000000000001</v>
      </c>
      <c r="AA34" s="55">
        <v>3500</v>
      </c>
      <c r="AB34" s="56">
        <v>2</v>
      </c>
      <c r="AC34" s="57">
        <v>70</v>
      </c>
      <c r="AD34" s="57">
        <v>20</v>
      </c>
      <c r="AE34" s="58">
        <v>20</v>
      </c>
      <c r="AF34" s="59">
        <v>1.0649999999999999</v>
      </c>
      <c r="AG34" s="60">
        <v>1.052</v>
      </c>
      <c r="AH34" s="57">
        <v>265</v>
      </c>
      <c r="AI34" s="58">
        <v>99</v>
      </c>
      <c r="AJ34" s="57">
        <v>33988</v>
      </c>
      <c r="AK34" s="49">
        <v>19</v>
      </c>
      <c r="AL34" s="60">
        <v>1.06</v>
      </c>
      <c r="AM34" s="49">
        <v>5.28</v>
      </c>
      <c r="AN34" s="61">
        <v>34</v>
      </c>
      <c r="AO34" s="51">
        <v>50</v>
      </c>
      <c r="AP34" s="51">
        <v>70</v>
      </c>
      <c r="AQ34" s="63">
        <v>1</v>
      </c>
      <c r="AR34" s="64">
        <v>3.44</v>
      </c>
      <c r="AS34" s="65">
        <v>8.3000000000000007</v>
      </c>
      <c r="AT34" s="65">
        <v>0.48</v>
      </c>
      <c r="AU34" s="66">
        <v>10.050000000000001</v>
      </c>
      <c r="AV34" s="67">
        <v>20.913240000000002</v>
      </c>
      <c r="AW34" s="65">
        <v>13140</v>
      </c>
      <c r="AX34" s="68">
        <v>25</v>
      </c>
      <c r="AY34" s="49">
        <v>210</v>
      </c>
      <c r="AZ34" s="49">
        <v>250</v>
      </c>
      <c r="BA34" s="69">
        <v>9.4</v>
      </c>
      <c r="BB34" s="69">
        <v>585.34</v>
      </c>
      <c r="BC34" s="49">
        <v>113</v>
      </c>
      <c r="BD34" s="43" t="s">
        <v>57</v>
      </c>
      <c r="BE34">
        <v>0</v>
      </c>
    </row>
    <row r="35" spans="1:57" x14ac:dyDescent="0.35">
      <c r="A35" s="44">
        <v>863</v>
      </c>
      <c r="B35" s="45">
        <v>74.198834999999988</v>
      </c>
      <c r="C35" s="46">
        <v>342.28670509756802</v>
      </c>
      <c r="D35" s="47">
        <v>18</v>
      </c>
      <c r="E35" s="47">
        <v>75</v>
      </c>
      <c r="F35" s="47">
        <v>7</v>
      </c>
      <c r="G35" s="76">
        <v>4.6900000000000004</v>
      </c>
      <c r="H35" s="46">
        <v>71.239999999999995</v>
      </c>
      <c r="I35" s="74"/>
      <c r="J35" s="76"/>
      <c r="K35" s="76"/>
      <c r="L35" s="76"/>
      <c r="M35" s="76"/>
      <c r="N35" s="76"/>
      <c r="O35" s="48">
        <v>8000</v>
      </c>
      <c r="P35" s="49">
        <v>78.400000000000006</v>
      </c>
      <c r="Q35" s="49">
        <v>85.5</v>
      </c>
      <c r="R35" s="51">
        <v>295</v>
      </c>
      <c r="S35" s="51">
        <v>76</v>
      </c>
      <c r="T35" s="51">
        <v>0.33</v>
      </c>
      <c r="U35" s="49">
        <v>65.2</v>
      </c>
      <c r="V35" s="51">
        <v>0.39</v>
      </c>
      <c r="W35" s="49">
        <v>25</v>
      </c>
      <c r="X35" s="52">
        <v>140</v>
      </c>
      <c r="Y35" s="53">
        <v>265</v>
      </c>
      <c r="Z35" s="65">
        <v>1.07</v>
      </c>
      <c r="AA35" s="55">
        <v>3500</v>
      </c>
      <c r="AB35" s="56">
        <v>2.2000000000000002</v>
      </c>
      <c r="AC35" s="57">
        <v>71</v>
      </c>
      <c r="AD35" s="57">
        <v>20</v>
      </c>
      <c r="AE35" s="58">
        <v>20</v>
      </c>
      <c r="AF35" s="59">
        <v>1.0649999999999999</v>
      </c>
      <c r="AG35" s="60">
        <v>1.0529999999999999</v>
      </c>
      <c r="AH35" s="57">
        <v>255</v>
      </c>
      <c r="AI35" s="58">
        <v>99</v>
      </c>
      <c r="AJ35" s="57">
        <v>33986</v>
      </c>
      <c r="AK35" s="49">
        <v>18</v>
      </c>
      <c r="AL35" s="60">
        <v>1.06</v>
      </c>
      <c r="AM35" s="49">
        <v>5.26</v>
      </c>
      <c r="AN35" s="61">
        <v>34</v>
      </c>
      <c r="AO35" s="51">
        <v>50</v>
      </c>
      <c r="AP35" s="51">
        <v>72</v>
      </c>
      <c r="AQ35" s="63">
        <v>1</v>
      </c>
      <c r="AR35" s="64">
        <v>3.48</v>
      </c>
      <c r="AS35" s="65">
        <v>8.1999999999999993</v>
      </c>
      <c r="AT35" s="65">
        <v>0.44</v>
      </c>
      <c r="AU35" s="66">
        <v>10</v>
      </c>
      <c r="AV35" s="67">
        <v>20.684680000000004</v>
      </c>
      <c r="AW35" s="65">
        <v>13129</v>
      </c>
      <c r="AX35" s="68">
        <v>25</v>
      </c>
      <c r="AY35" s="49">
        <v>210</v>
      </c>
      <c r="AZ35" s="49">
        <v>240</v>
      </c>
      <c r="BA35" s="69">
        <v>9.3000000000000007</v>
      </c>
      <c r="BB35" s="69">
        <v>585.15</v>
      </c>
      <c r="BC35" s="49">
        <v>112.8</v>
      </c>
      <c r="BD35" s="43" t="s">
        <v>57</v>
      </c>
      <c r="BE35">
        <v>0</v>
      </c>
    </row>
    <row r="36" spans="1:57" x14ac:dyDescent="0.35">
      <c r="A36" s="44">
        <v>864</v>
      </c>
      <c r="B36" s="45">
        <v>74.269025999999997</v>
      </c>
      <c r="C36" s="46">
        <v>342.61050325582079</v>
      </c>
      <c r="D36" s="47">
        <v>17</v>
      </c>
      <c r="E36" s="47">
        <v>75</v>
      </c>
      <c r="F36" s="47">
        <v>8</v>
      </c>
      <c r="G36" s="76">
        <v>4.71</v>
      </c>
      <c r="H36" s="46">
        <v>70.099999999999994</v>
      </c>
      <c r="I36" s="74"/>
      <c r="J36" s="76"/>
      <c r="K36" s="76"/>
      <c r="L36" s="76"/>
      <c r="M36" s="76"/>
      <c r="N36" s="76"/>
      <c r="O36" s="48">
        <v>8000</v>
      </c>
      <c r="P36" s="49">
        <v>78.400000000000006</v>
      </c>
      <c r="Q36" s="49">
        <v>85.4</v>
      </c>
      <c r="R36" s="51">
        <v>270</v>
      </c>
      <c r="S36" s="51">
        <v>76.2</v>
      </c>
      <c r="T36" s="51">
        <v>0.33</v>
      </c>
      <c r="U36" s="49">
        <v>65</v>
      </c>
      <c r="V36" s="51">
        <v>0.44</v>
      </c>
      <c r="W36" s="49">
        <v>25</v>
      </c>
      <c r="X36" s="52">
        <v>140</v>
      </c>
      <c r="Y36" s="53">
        <v>270</v>
      </c>
      <c r="Z36" s="65">
        <v>1.071</v>
      </c>
      <c r="AA36" s="55">
        <v>3500</v>
      </c>
      <c r="AB36" s="56">
        <v>2.1</v>
      </c>
      <c r="AC36" s="57">
        <v>70</v>
      </c>
      <c r="AD36" s="57">
        <v>20</v>
      </c>
      <c r="AE36" s="58">
        <v>20</v>
      </c>
      <c r="AF36" s="59">
        <v>1.0649999999999999</v>
      </c>
      <c r="AG36" s="60">
        <v>1.0529999999999999</v>
      </c>
      <c r="AH36" s="57">
        <v>275</v>
      </c>
      <c r="AI36" s="58">
        <v>99</v>
      </c>
      <c r="AJ36" s="57">
        <v>33985</v>
      </c>
      <c r="AK36" s="49">
        <v>18</v>
      </c>
      <c r="AL36" s="60">
        <v>1.0580000000000001</v>
      </c>
      <c r="AM36" s="49">
        <v>5.25</v>
      </c>
      <c r="AN36" s="61">
        <v>34</v>
      </c>
      <c r="AO36" s="49">
        <v>50</v>
      </c>
      <c r="AP36" s="62">
        <v>70</v>
      </c>
      <c r="AQ36" s="63">
        <v>1</v>
      </c>
      <c r="AR36" s="64">
        <v>3.52</v>
      </c>
      <c r="AS36" s="65">
        <v>8.3000000000000007</v>
      </c>
      <c r="AT36" s="65">
        <v>0.41</v>
      </c>
      <c r="AU36" s="66">
        <v>10</v>
      </c>
      <c r="AV36" s="67">
        <v>20.856100000000001</v>
      </c>
      <c r="AW36" s="65">
        <v>13161</v>
      </c>
      <c r="AX36" s="68">
        <v>25</v>
      </c>
      <c r="AY36" s="49">
        <v>210</v>
      </c>
      <c r="AZ36" s="49">
        <v>270</v>
      </c>
      <c r="BA36" s="69">
        <v>10</v>
      </c>
      <c r="BB36" s="69">
        <v>584.72699999999998</v>
      </c>
      <c r="BC36" s="49">
        <v>112.8</v>
      </c>
      <c r="BD36" s="43" t="s">
        <v>57</v>
      </c>
      <c r="BE36">
        <v>0</v>
      </c>
    </row>
    <row r="37" spans="1:57" x14ac:dyDescent="0.35">
      <c r="A37" s="44">
        <v>865</v>
      </c>
      <c r="B37" s="45">
        <v>73.951360000000008</v>
      </c>
      <c r="C37" s="46">
        <v>341.14507797708808</v>
      </c>
      <c r="D37" s="47">
        <v>17</v>
      </c>
      <c r="E37" s="47">
        <v>76</v>
      </c>
      <c r="F37" s="47">
        <v>7</v>
      </c>
      <c r="G37" s="76">
        <v>4.8</v>
      </c>
      <c r="H37" s="46">
        <v>68.78</v>
      </c>
      <c r="I37" s="74"/>
      <c r="J37" s="76"/>
      <c r="K37" s="76"/>
      <c r="L37" s="76"/>
      <c r="M37" s="76"/>
      <c r="N37" s="76"/>
      <c r="O37" s="48">
        <v>8000</v>
      </c>
      <c r="P37" s="49">
        <v>78.3</v>
      </c>
      <c r="Q37" s="49">
        <v>85.3</v>
      </c>
      <c r="R37" s="51">
        <v>296</v>
      </c>
      <c r="S37" s="51">
        <v>76.099999999999994</v>
      </c>
      <c r="T37" s="51">
        <v>0.33</v>
      </c>
      <c r="U37" s="49">
        <v>65.7</v>
      </c>
      <c r="V37" s="51">
        <v>0.48</v>
      </c>
      <c r="W37" s="49">
        <v>25</v>
      </c>
      <c r="X37" s="52">
        <v>140</v>
      </c>
      <c r="Y37" s="53">
        <v>240</v>
      </c>
      <c r="Z37" s="65">
        <v>1.073</v>
      </c>
      <c r="AA37" s="55">
        <v>3500</v>
      </c>
      <c r="AB37" s="56">
        <v>2.2000000000000002</v>
      </c>
      <c r="AC37" s="57">
        <v>70</v>
      </c>
      <c r="AD37" s="57">
        <v>20</v>
      </c>
      <c r="AE37" s="58">
        <v>20</v>
      </c>
      <c r="AF37" s="59">
        <v>1.06</v>
      </c>
      <c r="AG37" s="60">
        <v>1.05</v>
      </c>
      <c r="AH37" s="57">
        <v>260</v>
      </c>
      <c r="AI37" s="58">
        <v>99</v>
      </c>
      <c r="AJ37" s="57">
        <v>33986</v>
      </c>
      <c r="AK37" s="49">
        <v>19</v>
      </c>
      <c r="AL37" s="60">
        <v>1.06</v>
      </c>
      <c r="AM37" s="49">
        <v>5.31</v>
      </c>
      <c r="AN37" s="61">
        <v>34</v>
      </c>
      <c r="AO37" s="49">
        <v>54</v>
      </c>
      <c r="AP37" s="62">
        <v>70</v>
      </c>
      <c r="AQ37" s="63">
        <v>1</v>
      </c>
      <c r="AR37" s="64">
        <v>3.49</v>
      </c>
      <c r="AS37" s="64">
        <v>8.3000000000000007</v>
      </c>
      <c r="AT37" s="65">
        <v>0.38</v>
      </c>
      <c r="AU37" s="66">
        <v>10</v>
      </c>
      <c r="AV37" s="67">
        <v>20.913240000000002</v>
      </c>
      <c r="AW37" s="65">
        <v>13142</v>
      </c>
      <c r="AX37" s="68">
        <v>25</v>
      </c>
      <c r="AY37" s="49">
        <v>210</v>
      </c>
      <c r="AZ37" s="49">
        <v>240</v>
      </c>
      <c r="BA37" s="69">
        <v>9.3000000000000007</v>
      </c>
      <c r="BB37" s="69">
        <v>585.0575</v>
      </c>
      <c r="BC37" s="49">
        <v>113</v>
      </c>
      <c r="BD37" s="43" t="s">
        <v>57</v>
      </c>
      <c r="BE37">
        <v>0</v>
      </c>
    </row>
    <row r="38" spans="1:57" x14ac:dyDescent="0.35">
      <c r="A38" s="44">
        <v>866</v>
      </c>
      <c r="B38" s="45">
        <v>74.036214999999999</v>
      </c>
      <c r="C38" s="46">
        <v>341.53652264547202</v>
      </c>
      <c r="D38" s="47">
        <v>18</v>
      </c>
      <c r="E38" s="47">
        <v>75</v>
      </c>
      <c r="F38" s="47">
        <v>7</v>
      </c>
      <c r="G38" s="76">
        <v>4.8499999999999996</v>
      </c>
      <c r="H38" s="46">
        <v>69.12</v>
      </c>
      <c r="I38" s="74"/>
      <c r="J38" s="76"/>
      <c r="K38" s="76"/>
      <c r="L38" s="76"/>
      <c r="M38" s="76"/>
      <c r="N38" s="76"/>
      <c r="O38" s="48">
        <v>8000</v>
      </c>
      <c r="P38" s="49">
        <v>78.400000000000006</v>
      </c>
      <c r="Q38" s="49">
        <v>85.4</v>
      </c>
      <c r="R38" s="51">
        <v>300</v>
      </c>
      <c r="S38" s="51">
        <v>75.400000000000006</v>
      </c>
      <c r="T38" s="51">
        <v>0.33</v>
      </c>
      <c r="U38" s="49">
        <v>65.099999999999994</v>
      </c>
      <c r="V38" s="51">
        <v>0.42</v>
      </c>
      <c r="W38" s="49">
        <v>25</v>
      </c>
      <c r="X38" s="52">
        <v>140</v>
      </c>
      <c r="Y38" s="53">
        <v>265</v>
      </c>
      <c r="Z38" s="65">
        <v>1.075</v>
      </c>
      <c r="AA38" s="55">
        <v>3500</v>
      </c>
      <c r="AB38" s="56">
        <v>2</v>
      </c>
      <c r="AC38" s="57">
        <v>70</v>
      </c>
      <c r="AD38" s="57">
        <v>20</v>
      </c>
      <c r="AE38" s="58">
        <v>20</v>
      </c>
      <c r="AF38" s="59">
        <v>1.0620000000000001</v>
      </c>
      <c r="AG38" s="60">
        <v>1.05</v>
      </c>
      <c r="AH38" s="57">
        <v>255</v>
      </c>
      <c r="AI38" s="58">
        <v>99</v>
      </c>
      <c r="AJ38" s="57">
        <v>33985</v>
      </c>
      <c r="AK38" s="49">
        <v>19</v>
      </c>
      <c r="AL38" s="60">
        <v>1.06</v>
      </c>
      <c r="AM38" s="49">
        <v>5.32</v>
      </c>
      <c r="AN38" s="61">
        <v>34</v>
      </c>
      <c r="AO38" s="49">
        <v>52</v>
      </c>
      <c r="AP38" s="62">
        <v>70</v>
      </c>
      <c r="AQ38" s="63">
        <v>1</v>
      </c>
      <c r="AR38" s="64">
        <v>3.51</v>
      </c>
      <c r="AS38" s="65">
        <v>8.1999999999999993</v>
      </c>
      <c r="AT38" s="65">
        <v>0.46</v>
      </c>
      <c r="AU38" s="66">
        <v>10</v>
      </c>
      <c r="AV38" s="67">
        <v>20.62754</v>
      </c>
      <c r="AW38" s="65">
        <v>13167</v>
      </c>
      <c r="AX38" s="68">
        <v>25</v>
      </c>
      <c r="AY38" s="49">
        <v>210</v>
      </c>
      <c r="AZ38" s="49">
        <v>270</v>
      </c>
      <c r="BA38" s="69">
        <v>10</v>
      </c>
      <c r="BB38" s="69">
        <v>584.8683749999999</v>
      </c>
      <c r="BC38" s="49">
        <v>113.1</v>
      </c>
      <c r="BD38" s="43" t="s">
        <v>57</v>
      </c>
      <c r="BE38">
        <v>0</v>
      </c>
    </row>
    <row r="39" spans="1:57" x14ac:dyDescent="0.35">
      <c r="A39" s="44">
        <v>867</v>
      </c>
      <c r="B39" s="45">
        <v>74.330536000000009</v>
      </c>
      <c r="C39" s="46">
        <v>342.89425508602886</v>
      </c>
      <c r="D39" s="47">
        <v>17</v>
      </c>
      <c r="E39" s="47">
        <v>75</v>
      </c>
      <c r="F39" s="47">
        <v>8</v>
      </c>
      <c r="G39" s="76">
        <v>4.68</v>
      </c>
      <c r="H39" s="46">
        <v>70.11</v>
      </c>
      <c r="I39" s="74"/>
      <c r="J39" s="76"/>
      <c r="K39" s="76"/>
      <c r="L39" s="76"/>
      <c r="M39" s="76"/>
      <c r="N39" s="76"/>
      <c r="O39" s="48">
        <v>8000</v>
      </c>
      <c r="P39" s="49">
        <v>78.5</v>
      </c>
      <c r="Q39" s="49">
        <v>85.5</v>
      </c>
      <c r="R39" s="51">
        <v>285</v>
      </c>
      <c r="S39" s="51">
        <v>74.099999999999994</v>
      </c>
      <c r="T39" s="51">
        <v>0.33</v>
      </c>
      <c r="U39" s="49">
        <v>65.099999999999994</v>
      </c>
      <c r="V39" s="51">
        <v>0.4</v>
      </c>
      <c r="W39" s="49">
        <v>25</v>
      </c>
      <c r="X39" s="52">
        <v>140</v>
      </c>
      <c r="Y39" s="53">
        <v>270</v>
      </c>
      <c r="Z39" s="65">
        <v>1.0720000000000001</v>
      </c>
      <c r="AA39" s="55">
        <v>3500</v>
      </c>
      <c r="AB39" s="56">
        <v>2</v>
      </c>
      <c r="AC39" s="57">
        <v>70</v>
      </c>
      <c r="AD39" s="57">
        <v>20</v>
      </c>
      <c r="AE39" s="58">
        <v>20</v>
      </c>
      <c r="AF39" s="59">
        <v>1.0649999999999999</v>
      </c>
      <c r="AG39" s="75">
        <v>1.052</v>
      </c>
      <c r="AH39" s="57">
        <v>275</v>
      </c>
      <c r="AI39" s="58">
        <v>99</v>
      </c>
      <c r="AJ39" s="57">
        <v>33986</v>
      </c>
      <c r="AK39" s="49">
        <v>18</v>
      </c>
      <c r="AL39" s="60">
        <v>1.0589999999999999</v>
      </c>
      <c r="AM39" s="49">
        <v>5.28</v>
      </c>
      <c r="AN39" s="61">
        <v>34</v>
      </c>
      <c r="AO39" s="49">
        <v>52</v>
      </c>
      <c r="AP39" s="62">
        <v>72</v>
      </c>
      <c r="AQ39" s="63">
        <v>1</v>
      </c>
      <c r="AR39" s="64">
        <v>3.46</v>
      </c>
      <c r="AS39" s="65">
        <v>8.3000000000000007</v>
      </c>
      <c r="AT39" s="65">
        <v>0.4</v>
      </c>
      <c r="AU39" s="66">
        <v>10</v>
      </c>
      <c r="AV39" s="67">
        <v>20.970380000000002</v>
      </c>
      <c r="AW39" s="65">
        <v>13145</v>
      </c>
      <c r="AX39" s="68">
        <v>25</v>
      </c>
      <c r="AY39" s="49">
        <v>210</v>
      </c>
      <c r="AZ39" s="49">
        <v>240</v>
      </c>
      <c r="BA39" s="69">
        <v>9.3000000000000007</v>
      </c>
      <c r="BB39" s="69">
        <v>584.16149999999993</v>
      </c>
      <c r="BC39" s="49">
        <v>113.1</v>
      </c>
      <c r="BD39" s="43" t="s">
        <v>57</v>
      </c>
      <c r="BE39">
        <v>0</v>
      </c>
    </row>
    <row r="40" spans="1:57" x14ac:dyDescent="0.35">
      <c r="A40" s="44">
        <v>868</v>
      </c>
      <c r="B40" s="45">
        <v>74.454486000000003</v>
      </c>
      <c r="C40" s="46">
        <v>343.46604893018889</v>
      </c>
      <c r="D40" s="47">
        <v>18</v>
      </c>
      <c r="E40" s="47">
        <v>76</v>
      </c>
      <c r="F40" s="47">
        <v>6</v>
      </c>
      <c r="G40" s="76">
        <v>4.57</v>
      </c>
      <c r="H40" s="46">
        <v>70.209999999999994</v>
      </c>
      <c r="I40" s="74"/>
      <c r="J40" s="76"/>
      <c r="K40" s="76"/>
      <c r="L40" s="76"/>
      <c r="M40" s="76"/>
      <c r="N40" s="76"/>
      <c r="O40" s="48">
        <v>8000</v>
      </c>
      <c r="P40" s="49">
        <v>78.5</v>
      </c>
      <c r="Q40" s="49">
        <v>85.5</v>
      </c>
      <c r="R40" s="51">
        <v>285</v>
      </c>
      <c r="S40" s="51">
        <v>76</v>
      </c>
      <c r="T40" s="51">
        <v>0.33</v>
      </c>
      <c r="U40" s="49">
        <v>65</v>
      </c>
      <c r="V40" s="51">
        <v>0.41</v>
      </c>
      <c r="W40" s="49">
        <v>25</v>
      </c>
      <c r="X40" s="52">
        <v>140</v>
      </c>
      <c r="Y40" s="53">
        <v>240</v>
      </c>
      <c r="Z40" s="65">
        <v>1.073</v>
      </c>
      <c r="AA40" s="55">
        <v>3500</v>
      </c>
      <c r="AB40" s="56">
        <v>2.1</v>
      </c>
      <c r="AC40" s="57">
        <v>70</v>
      </c>
      <c r="AD40" s="57">
        <v>20</v>
      </c>
      <c r="AE40" s="58">
        <v>20</v>
      </c>
      <c r="AF40" s="73">
        <v>1.0649999999999999</v>
      </c>
      <c r="AG40" s="75">
        <v>1.052</v>
      </c>
      <c r="AH40" s="57">
        <v>285</v>
      </c>
      <c r="AI40" s="58">
        <v>99</v>
      </c>
      <c r="AJ40" s="57">
        <v>33988</v>
      </c>
      <c r="AK40" s="49">
        <v>19</v>
      </c>
      <c r="AL40" s="60">
        <v>1.06</v>
      </c>
      <c r="AM40" s="49">
        <v>5.26</v>
      </c>
      <c r="AN40" s="61">
        <v>34</v>
      </c>
      <c r="AO40" s="49">
        <v>54</v>
      </c>
      <c r="AP40" s="62">
        <v>70</v>
      </c>
      <c r="AQ40" s="63">
        <v>1</v>
      </c>
      <c r="AR40" s="64">
        <v>3.52</v>
      </c>
      <c r="AS40" s="65">
        <v>8.3000000000000007</v>
      </c>
      <c r="AT40" s="65">
        <v>0.48</v>
      </c>
      <c r="AU40" s="66">
        <v>10</v>
      </c>
      <c r="AV40" s="67">
        <v>20.913240000000002</v>
      </c>
      <c r="AW40" s="65">
        <v>13151</v>
      </c>
      <c r="AX40" s="68">
        <v>25</v>
      </c>
      <c r="AY40" s="49">
        <v>210</v>
      </c>
      <c r="AZ40" s="49">
        <v>270</v>
      </c>
      <c r="BA40" s="69">
        <v>9.4</v>
      </c>
      <c r="BB40" s="69">
        <v>586.18087500000001</v>
      </c>
      <c r="BC40" s="49">
        <v>112.7</v>
      </c>
      <c r="BD40" s="43" t="s">
        <v>57</v>
      </c>
      <c r="BE40">
        <v>0</v>
      </c>
    </row>
    <row r="41" spans="1:57" x14ac:dyDescent="0.35">
      <c r="A41" s="44">
        <v>869</v>
      </c>
      <c r="B41" s="45">
        <v>74.378141999999997</v>
      </c>
      <c r="C41" s="46">
        <v>343.11386636271362</v>
      </c>
      <c r="D41" s="47">
        <v>17</v>
      </c>
      <c r="E41" s="47">
        <v>76</v>
      </c>
      <c r="F41" s="47">
        <v>7</v>
      </c>
      <c r="G41" s="76">
        <v>4.57</v>
      </c>
      <c r="H41" s="46">
        <v>69.989999999999995</v>
      </c>
      <c r="I41" s="74"/>
      <c r="J41" s="76"/>
      <c r="K41" s="76"/>
      <c r="L41" s="76"/>
      <c r="M41" s="76"/>
      <c r="N41" s="76"/>
      <c r="O41" s="48">
        <v>8000</v>
      </c>
      <c r="P41" s="49">
        <v>78.5</v>
      </c>
      <c r="Q41" s="49">
        <v>85.5</v>
      </c>
      <c r="R41" s="51">
        <v>275</v>
      </c>
      <c r="S41" s="51">
        <v>77.5</v>
      </c>
      <c r="T41" s="51">
        <v>0.33</v>
      </c>
      <c r="U41" s="49">
        <v>65.3</v>
      </c>
      <c r="V41" s="51">
        <v>0.42</v>
      </c>
      <c r="W41" s="49">
        <v>25</v>
      </c>
      <c r="X41" s="52">
        <v>140</v>
      </c>
      <c r="Y41" s="53">
        <v>233</v>
      </c>
      <c r="Z41" s="65">
        <v>1.07</v>
      </c>
      <c r="AA41" s="55">
        <v>3500</v>
      </c>
      <c r="AB41" s="56">
        <v>2</v>
      </c>
      <c r="AC41" s="57">
        <v>70</v>
      </c>
      <c r="AD41" s="57">
        <v>20</v>
      </c>
      <c r="AE41" s="58">
        <v>20</v>
      </c>
      <c r="AF41" s="73">
        <v>1.0640000000000001</v>
      </c>
      <c r="AG41" s="75">
        <v>1.05</v>
      </c>
      <c r="AH41" s="57">
        <v>260</v>
      </c>
      <c r="AI41" s="58">
        <v>99</v>
      </c>
      <c r="AJ41" s="57">
        <v>33988</v>
      </c>
      <c r="AK41" s="49">
        <v>19</v>
      </c>
      <c r="AL41" s="60">
        <v>1.0580000000000001</v>
      </c>
      <c r="AM41" s="49">
        <v>5.29</v>
      </c>
      <c r="AN41" s="61">
        <v>33</v>
      </c>
      <c r="AO41" s="49">
        <v>54</v>
      </c>
      <c r="AP41" s="62">
        <v>72</v>
      </c>
      <c r="AQ41" s="63">
        <v>1</v>
      </c>
      <c r="AR41" s="64">
        <v>3.49</v>
      </c>
      <c r="AS41" s="65">
        <v>8.3000000000000007</v>
      </c>
      <c r="AT41" s="65">
        <v>0.44</v>
      </c>
      <c r="AU41" s="66">
        <v>10</v>
      </c>
      <c r="AV41" s="67">
        <v>20.970380000000002</v>
      </c>
      <c r="AW41" s="65">
        <v>13123</v>
      </c>
      <c r="AX41" s="68">
        <v>25</v>
      </c>
      <c r="AY41" s="49">
        <v>210</v>
      </c>
      <c r="AZ41" s="49">
        <v>240</v>
      </c>
      <c r="BA41" s="69">
        <v>9.3000000000000007</v>
      </c>
      <c r="BB41" s="69">
        <v>585.00900000000001</v>
      </c>
      <c r="BC41" s="49">
        <v>112.8</v>
      </c>
      <c r="BD41" s="43" t="s">
        <v>57</v>
      </c>
      <c r="BE41">
        <v>0</v>
      </c>
    </row>
    <row r="42" spans="1:57" x14ac:dyDescent="0.35">
      <c r="A42" s="44">
        <v>870</v>
      </c>
      <c r="B42" s="45">
        <v>74.082901000000007</v>
      </c>
      <c r="C42" s="46">
        <v>341.75188986942084</v>
      </c>
      <c r="D42" s="47">
        <v>18</v>
      </c>
      <c r="E42" s="47">
        <v>76</v>
      </c>
      <c r="F42" s="47">
        <v>6</v>
      </c>
      <c r="G42" s="76">
        <v>4.79</v>
      </c>
      <c r="H42" s="46">
        <v>70.28</v>
      </c>
      <c r="I42" s="74"/>
      <c r="J42" s="76"/>
      <c r="K42" s="76"/>
      <c r="L42" s="76"/>
      <c r="M42" s="76"/>
      <c r="N42" s="76"/>
      <c r="O42" s="48">
        <v>8000</v>
      </c>
      <c r="P42" s="49">
        <v>78.400000000000006</v>
      </c>
      <c r="Q42" s="49">
        <v>85.5</v>
      </c>
      <c r="R42" s="51">
        <v>295</v>
      </c>
      <c r="S42" s="51">
        <v>77.5</v>
      </c>
      <c r="T42" s="51">
        <v>0.33</v>
      </c>
      <c r="U42" s="49">
        <v>65.400000000000006</v>
      </c>
      <c r="V42" s="51">
        <v>0.4</v>
      </c>
      <c r="W42" s="49">
        <v>25</v>
      </c>
      <c r="X42" s="52">
        <v>140</v>
      </c>
      <c r="Y42" s="53">
        <v>305</v>
      </c>
      <c r="Z42" s="65">
        <v>1.0740000000000001</v>
      </c>
      <c r="AA42" s="55">
        <v>3500</v>
      </c>
      <c r="AB42" s="56">
        <v>2</v>
      </c>
      <c r="AC42" s="57">
        <v>70</v>
      </c>
      <c r="AD42" s="57">
        <v>20</v>
      </c>
      <c r="AE42" s="58">
        <v>20</v>
      </c>
      <c r="AF42" s="73">
        <v>1.0620000000000001</v>
      </c>
      <c r="AG42" s="75">
        <v>1.052</v>
      </c>
      <c r="AH42" s="57">
        <v>255</v>
      </c>
      <c r="AI42" s="58">
        <v>99</v>
      </c>
      <c r="AJ42" s="57">
        <v>33988</v>
      </c>
      <c r="AK42" s="49">
        <v>19</v>
      </c>
      <c r="AL42" s="60">
        <v>1.06</v>
      </c>
      <c r="AM42" s="49">
        <v>5.25</v>
      </c>
      <c r="AN42" s="61">
        <v>33</v>
      </c>
      <c r="AO42" s="51">
        <v>54</v>
      </c>
      <c r="AP42" s="62">
        <v>70</v>
      </c>
      <c r="AQ42" s="63">
        <v>1</v>
      </c>
      <c r="AR42" s="64">
        <v>3.51</v>
      </c>
      <c r="AS42" s="65">
        <v>8.3000000000000007</v>
      </c>
      <c r="AT42" s="65">
        <v>0.4</v>
      </c>
      <c r="AU42" s="66">
        <v>10</v>
      </c>
      <c r="AV42" s="67">
        <v>20.913240000000002</v>
      </c>
      <c r="AW42" s="65">
        <v>13134</v>
      </c>
      <c r="AX42" s="68">
        <v>25</v>
      </c>
      <c r="AY42" s="49">
        <v>210</v>
      </c>
      <c r="AZ42" s="49">
        <v>240</v>
      </c>
      <c r="BA42" s="69">
        <v>9.3000000000000007</v>
      </c>
      <c r="BB42" s="69">
        <v>585.19875000000002</v>
      </c>
      <c r="BC42" s="49">
        <v>113</v>
      </c>
      <c r="BD42" s="43" t="s">
        <v>57</v>
      </c>
      <c r="BE42">
        <v>0</v>
      </c>
    </row>
    <row r="1048570" spans="56:56" x14ac:dyDescent="0.35">
      <c r="BD1048570" s="13"/>
    </row>
    <row r="1048571" spans="56:56" x14ac:dyDescent="0.35">
      <c r="BD1048571" s="43"/>
    </row>
    <row r="1048572" spans="56:56" x14ac:dyDescent="0.35">
      <c r="BD1048572" s="43"/>
    </row>
    <row r="1048573" spans="56:56" x14ac:dyDescent="0.35">
      <c r="BD1048573" s="79"/>
    </row>
  </sheetData>
  <conditionalFormatting sqref="H4:H8 H10:H13">
    <cfRule type="containsText" dxfId="0" priority="1" operator="containsText" text=",,">
      <formula>NOT(ISERROR(SEARCH(",,",H4)))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Gupta</dc:creator>
  <cp:lastModifiedBy>Ravi Gupta</cp:lastModifiedBy>
  <dcterms:created xsi:type="dcterms:W3CDTF">2024-10-04T02:17:26Z</dcterms:created>
  <dcterms:modified xsi:type="dcterms:W3CDTF">2024-10-04T02:18:45Z</dcterms:modified>
</cp:coreProperties>
</file>